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072"/>
  </bookViews>
  <sheets>
    <sheet name="Dashboard" sheetId="2" r:id="rId1"/>
    <sheet name="Raw_data" sheetId="4" r:id="rId2"/>
    <sheet name="Cleaned_Data" sheetId="1" r:id="rId3"/>
    <sheet name="Product-wise_sales" sheetId="5" r:id="rId4"/>
    <sheet name="Category-wise_Sales" sheetId="6" r:id="rId5"/>
    <sheet name="Regional-sales_Analysis" sheetId="7" r:id="rId6"/>
    <sheet name="Monthly-sales_Analysis" sheetId="8" r:id="rId7"/>
    <sheet name="Customer Type" sheetId="10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9" i="2" l="1"/>
  <c r="N2" i="4"/>
  <c r="B6" i="2" l="1"/>
  <c r="K6" i="2"/>
  <c r="H6" i="2"/>
  <c r="E6" i="2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  <c r="M30" i="4"/>
  <c r="N30" i="4"/>
  <c r="M31" i="4"/>
  <c r="N31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2" i="4"/>
</calcChain>
</file>

<file path=xl/sharedStrings.xml><?xml version="1.0" encoding="utf-8"?>
<sst xmlns="http://schemas.openxmlformats.org/spreadsheetml/2006/main" count="501" uniqueCount="119">
  <si>
    <t>Order_ID</t>
  </si>
  <si>
    <t>Order_Date</t>
  </si>
  <si>
    <t>Customer_Type</t>
  </si>
  <si>
    <t>Product</t>
  </si>
  <si>
    <t>Category</t>
  </si>
  <si>
    <t>Region</t>
  </si>
  <si>
    <t>Customer_type</t>
  </si>
  <si>
    <t>Quantity</t>
  </si>
  <si>
    <t>Unit_Price</t>
  </si>
  <si>
    <t>Cost_Price</t>
  </si>
  <si>
    <t>Discount</t>
  </si>
  <si>
    <t>Payment_Mode</t>
  </si>
  <si>
    <t>Sales</t>
  </si>
  <si>
    <t>Profit</t>
  </si>
  <si>
    <t>ORD001</t>
  </si>
  <si>
    <t>C001</t>
  </si>
  <si>
    <t>New</t>
  </si>
  <si>
    <t>Laptop</t>
  </si>
  <si>
    <t>Electronics</t>
  </si>
  <si>
    <t>South</t>
  </si>
  <si>
    <t>UPI</t>
  </si>
  <si>
    <t>ORD002</t>
  </si>
  <si>
    <t>C002</t>
  </si>
  <si>
    <t>Returning</t>
  </si>
  <si>
    <t>Mouse</t>
  </si>
  <si>
    <t>Accessories</t>
  </si>
  <si>
    <t>North</t>
  </si>
  <si>
    <t>Card</t>
  </si>
  <si>
    <t>ORD003</t>
  </si>
  <si>
    <t>C003</t>
  </si>
  <si>
    <t>Phone</t>
  </si>
  <si>
    <t>West</t>
  </si>
  <si>
    <t>Cash</t>
  </si>
  <si>
    <t>ORD004</t>
  </si>
  <si>
    <t>C004</t>
  </si>
  <si>
    <t>Keyboard</t>
  </si>
  <si>
    <t>ORD005</t>
  </si>
  <si>
    <t>C005</t>
  </si>
  <si>
    <t>ORD006</t>
  </si>
  <si>
    <t>C006</t>
  </si>
  <si>
    <t>Headphones</t>
  </si>
  <si>
    <t>ORD007</t>
  </si>
  <si>
    <t>C007</t>
  </si>
  <si>
    <t>ORD008</t>
  </si>
  <si>
    <t>C008</t>
  </si>
  <si>
    <t>ORD009</t>
  </si>
  <si>
    <t>C009</t>
  </si>
  <si>
    <t>ORD010</t>
  </si>
  <si>
    <t>C010</t>
  </si>
  <si>
    <t>ORD011</t>
  </si>
  <si>
    <t>C011</t>
  </si>
  <si>
    <t>ORD012</t>
  </si>
  <si>
    <t>C012</t>
  </si>
  <si>
    <t>ORD013</t>
  </si>
  <si>
    <t>C013</t>
  </si>
  <si>
    <t>ORD014</t>
  </si>
  <si>
    <t>C014</t>
  </si>
  <si>
    <t>ORD015</t>
  </si>
  <si>
    <t>C015</t>
  </si>
  <si>
    <t>ORD016</t>
  </si>
  <si>
    <t>C016</t>
  </si>
  <si>
    <t>ORD017</t>
  </si>
  <si>
    <t>C017</t>
  </si>
  <si>
    <t>ORD018</t>
  </si>
  <si>
    <t>C018</t>
  </si>
  <si>
    <t>ORD019</t>
  </si>
  <si>
    <t>C019</t>
  </si>
  <si>
    <t>ORD020</t>
  </si>
  <si>
    <t>C020</t>
  </si>
  <si>
    <t>ORD021</t>
  </si>
  <si>
    <t>C021</t>
  </si>
  <si>
    <t>ORD022</t>
  </si>
  <si>
    <t>C022</t>
  </si>
  <si>
    <t>ORD023</t>
  </si>
  <si>
    <t>C023</t>
  </si>
  <si>
    <t>ORD024</t>
  </si>
  <si>
    <t>C024</t>
  </si>
  <si>
    <t>ORD025</t>
  </si>
  <si>
    <t>C025</t>
  </si>
  <si>
    <t>ORD026</t>
  </si>
  <si>
    <t>C026</t>
  </si>
  <si>
    <t>ORD027</t>
  </si>
  <si>
    <t>C027</t>
  </si>
  <si>
    <t>ORD028</t>
  </si>
  <si>
    <t>C028</t>
  </si>
  <si>
    <t>ORD029</t>
  </si>
  <si>
    <t>C029</t>
  </si>
  <si>
    <t>ORD030</t>
  </si>
  <si>
    <t>C030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</si>
  <si>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</si>
  <si>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</si>
  <si>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</si>
  <si>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</si>
  <si>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</si>
  <si>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</si>
  <si>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</si>
  <si>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</si>
  <si>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</si>
  <si>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</si>
  <si>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</si>
  <si>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</si>
  <si>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Customer_ID</t>
  </si>
  <si>
    <t>TOTAL SALES</t>
  </si>
  <si>
    <t>TOTAL PROFIT</t>
  </si>
  <si>
    <t>TOTAL QUANTITY</t>
  </si>
  <si>
    <r>
      <t>2. Best-performing category:</t>
    </r>
    <r>
      <rPr>
        <sz val="16"/>
        <color theme="1"/>
        <rFont val="Calibri"/>
        <family val="2"/>
        <scheme val="minor"/>
      </rPr>
      <t xml:space="preserve"> Electronics generated ₹8,64,350, making it the strongest category.</t>
    </r>
  </si>
  <si>
    <r>
      <t>3. Best-performing region:</t>
    </r>
    <r>
      <rPr>
        <sz val="16"/>
        <color theme="1"/>
        <rFont val="Calibri"/>
        <family val="2"/>
        <scheme val="minor"/>
      </rPr>
      <t xml:space="preserve"> North recorded the highest regional sales of ₹3,90,815.</t>
    </r>
  </si>
  <si>
    <r>
      <t>4. Monthly trend:</t>
    </r>
    <r>
      <rPr>
        <sz val="16"/>
        <color theme="1"/>
        <rFont val="Calibri"/>
        <family val="2"/>
        <scheme val="minor"/>
      </rPr>
      <t xml:space="preserve"> May had the highest monthly sales at ₹1,73,705, while June had the lowest at ₹35,820.</t>
    </r>
  </si>
  <si>
    <r>
      <t>5. Customer analysis:</t>
    </r>
    <r>
      <rPr>
        <sz val="16"/>
        <color theme="1"/>
        <rFont val="Calibri"/>
        <family val="2"/>
        <scheme val="minor"/>
      </rPr>
      <t xml:space="preserve"> New customers generated ₹6,94,990, which is higher than returning customers' sales of ₹2,50,465.</t>
    </r>
  </si>
  <si>
    <r>
      <t>1. Top-performing product:</t>
    </r>
    <r>
      <rPr>
        <sz val="16"/>
        <color theme="1"/>
        <rFont val="Calibri"/>
        <family val="2"/>
        <scheme val="minor"/>
      </rPr>
      <t xml:space="preserve"> Laptop generated the highest sales of ₹6,16,400.</t>
    </r>
  </si>
  <si>
    <t>BUSINESS RECOMMENDATIONS</t>
  </si>
  <si>
    <t>KEY BUSINESS INSIGHTS</t>
  </si>
  <si>
    <r>
      <rPr>
        <b/>
        <sz val="16"/>
        <color theme="1"/>
        <rFont val="Calibri"/>
        <family val="2"/>
        <scheme val="minor"/>
      </rPr>
      <t>1.Focus on Laptop sales</t>
    </r>
    <r>
      <rPr>
        <sz val="16"/>
        <color theme="1"/>
        <rFont val="Calibri"/>
        <family val="2"/>
        <scheme val="minor"/>
      </rPr>
      <t>: Maintain sufficient stock and promote laptops because they are the top-performing product.</t>
    </r>
  </si>
  <si>
    <r>
      <rPr>
        <b/>
        <sz val="16"/>
        <color theme="1"/>
        <rFont val="Calibri"/>
        <family val="2"/>
        <scheme val="minor"/>
      </rPr>
      <t>2.Strengthen Electronics category</t>
    </r>
    <r>
      <rPr>
        <sz val="16"/>
        <color theme="1"/>
        <rFont val="Calibri"/>
        <family val="2"/>
        <scheme val="minor"/>
      </rPr>
      <t>: Expand the Electronics product range and continue targeted promotions.</t>
    </r>
  </si>
  <si>
    <r>
      <t xml:space="preserve">3.Improve regional performance: </t>
    </r>
    <r>
      <rPr>
        <sz val="16"/>
        <color theme="1"/>
        <rFont val="Calibri"/>
        <family val="2"/>
        <scheme val="minor"/>
      </rPr>
      <t>Analyze customer demand in South and West regions and introduce suitable offers to increase sales.</t>
    </r>
  </si>
  <si>
    <r>
      <rPr>
        <b/>
        <sz val="16"/>
        <color theme="1"/>
        <rFont val="Calibri"/>
        <family val="2"/>
        <scheme val="minor"/>
      </rPr>
      <t>4.Investigate the June sales drop</t>
    </r>
    <r>
      <rPr>
        <sz val="16"/>
        <color theme="1"/>
        <rFont val="Calibri"/>
        <family val="2"/>
        <scheme val="minor"/>
      </rPr>
      <t>: Identify the reasons for low June sales and plan special promotions during low-sales periods.</t>
    </r>
  </si>
  <si>
    <r>
      <rPr>
        <b/>
        <sz val="16"/>
        <color theme="1"/>
        <rFont val="Calibri"/>
        <family val="2"/>
        <scheme val="minor"/>
      </rPr>
      <t>5.Retain new customers</t>
    </r>
    <r>
      <rPr>
        <sz val="16"/>
        <color theme="1"/>
        <rFont val="Calibri"/>
        <family val="2"/>
        <scheme val="minor"/>
      </rPr>
      <t>: Use loyalty offers and personalized promotions to encourage new customers to make repeat purchases.</t>
    </r>
  </si>
  <si>
    <t xml:space="preserve">TOTAL ORDERS </t>
  </si>
  <si>
    <t xml:space="preserve">                SMART SALES INTELLIGENCE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</si>
</sst>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Arial Rounded MT Bold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14" fontId="0" fillId="0" borderId="0" xfId="0" applyNumberFormat="1"/>
    <xf numFmtId="9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 indent="2"/>
    </xf>
    <xf numFmtId="0" fontId="0" fillId="0" borderId="0" xfId="0" applyBorder="1"/>
    <xf numFmtId="0" fontId="0" fillId="0" borderId="10" xfId="0" applyBorder="1"/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" xfId="0" applyFill="1" applyBorder="1"/>
    <xf numFmtId="44" fontId="5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4" fontId="4" fillId="3" borderId="8" xfId="0" applyNumberFormat="1" applyFont="1" applyFill="1" applyBorder="1" applyAlignment="1">
      <alignment horizontal="center" vertical="center"/>
    </xf>
    <xf numFmtId="44" fontId="4" fillId="3" borderId="9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3" fillId="0" borderId="6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3" fillId="0" borderId="8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3" fillId="0" borderId="9" xfId="0" applyFont="1" applyBorder="1" applyAlignment="1">
      <alignment horizontal="left" wrapText="1"/>
    </xf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WORKSHEET.xlsx]Product-wise_sales!PivotTable1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-wise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'Product-wise_sales'!$B$3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'Product-wise_sales'!$A$4:$A$9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Mouse</c:v>
                </c:pt>
                <c:pt idx="4">
                  <c:v>Phone</c:v>
                </c:pt>
              </c:strCache>
            </c:strRef>
          </c:cat>
          <c:val>
            <c:numRef>
              <c:f>'Product-wise_sales'!$B$4:$B$9</c:f>
              <c:numCache>
                <c:formatCode>_("₹"* #,##0.00_);_("₹"* \(#,##0.00\);_("₹"* "-"??_);_(@_)</c:formatCode>
                <c:ptCount val="5"/>
                <c:pt idx="0">
                  <c:v>36075</c:v>
                </c:pt>
                <c:pt idx="1">
                  <c:v>24665</c:v>
                </c:pt>
                <c:pt idx="2">
                  <c:v>616400</c:v>
                </c:pt>
                <c:pt idx="3">
                  <c:v>20365</c:v>
                </c:pt>
                <c:pt idx="4">
                  <c:v>247950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C-4A29-88B6-DE0CF9A2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9053439"/>
        <c:axId val="1849052607"/>
        <c:axId val="0"/>
      </c:bar3DChart>
      <c:catAx>
        <c:axId val="184905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52607"/>
        <c:crosses val="autoZero"/>
        <c:auto val="1"/>
        <c:lblAlgn val="ctr"/>
        <c:lblOffset val="100"/>
        <c:noMultiLvlLbl val="0"/>
      </c:catAx>
      <c:valAx>
        <c:axId val="18490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5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WORKSHEET.xlsx]Regional-sales_Analysis!PivotTable3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Regional</a:t>
            </a:r>
            <a:r>
              <a:rPr lang="en-US" sz="1600" b="1" baseline="0"/>
              <a:t> S</a:t>
            </a:r>
            <a:r>
              <a:rPr lang="en-US" sz="1600" b="1"/>
              <a:t>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'Regional-sales_Analysis'!$B$3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'Regional-sales_Analysis'!$A$4:$A$7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'Regional-sales_Analysis'!$B$4:$B$7</c:f>
              <c:numCache>
                <c:formatCode>_("₹"* #,##0.00_);_("₹"* \(#,##0.00\);_("₹"* "-"??_);_(@_)</c:formatCode>
                <c:ptCount val="3"/>
                <c:pt idx="0">
                  <c:v>390815</c:v>
                </c:pt>
                <c:pt idx="1">
                  <c:v>237015</c:v>
                </c:pt>
                <c:pt idx="2">
                  <c:v>317625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6-4E44-96EE-E0CF6FD3C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7168831"/>
        <c:axId val="1577170079"/>
        <c:axId val="0"/>
      </c:bar3DChart>
      <c:catAx>
        <c:axId val="157716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70079"/>
        <c:crosses val="autoZero"/>
        <c:auto val="1"/>
        <c:lblAlgn val="ctr"/>
        <c:lblOffset val="100"/>
        <c:noMultiLvlLbl val="0"/>
      </c:catAx>
      <c:valAx>
        <c:axId val="157717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6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WORKSHEET.xlsx]Monthly-sales_Analysis!PivotTable4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Sales Trend</a:t>
            </a:r>
          </a:p>
        </c:rich>
      </c:tx>
      <c:layout>
        <c:manualLayout>
          <c:xMode val="edge"/>
          <c:yMode val="edge"/>
          <c:x val="0.36869770562886373"/>
          <c:y val="1.4095830187052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'Monthly-sales_Analysis'!$B$3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'Monthly-sales_Analysis'!$A$4:$A$13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'Monthly-sales_Analysis'!$B$4:$B$13</c:f>
              <c:numCache>
                <c:formatCode>_("₹"* #,##0.00_);_("₹"* \(#,##0.00\);_("₹"* "-"??_);_(@_)</c:formatCode>
                <c:ptCount val="9"/>
                <c:pt idx="0">
                  <c:v>99650</c:v>
                </c:pt>
                <c:pt idx="1">
                  <c:v>65350</c:v>
                </c:pt>
                <c:pt idx="2">
                  <c:v>134190</c:v>
                </c:pt>
                <c:pt idx="3">
                  <c:v>85660</c:v>
                </c:pt>
                <c:pt idx="4">
                  <c:v>173705</c:v>
                </c:pt>
                <c:pt idx="5">
                  <c:v>35820</c:v>
                </c:pt>
                <c:pt idx="6">
                  <c:v>121852.5</c:v>
                </c:pt>
                <c:pt idx="7">
                  <c:v>88650</c:v>
                </c:pt>
                <c:pt idx="8">
                  <c:v>140577.5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85-4CFC-A9D1-4806BAF80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166335"/>
        <c:axId val="1577167583"/>
      </c:lineChart>
      <c:catAx>
        <c:axId val="15771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67583"/>
        <c:crosses val="autoZero"/>
        <c:auto val="1"/>
        <c:lblAlgn val="ctr"/>
        <c:lblOffset val="100"/>
        <c:noMultiLvlLbl val="0"/>
      </c:catAx>
      <c:valAx>
        <c:axId val="157716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6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WORKSHEET.xlsx]Product-wise_sales!PivotTable1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</a:t>
            </a:r>
            <a:r>
              <a:rPr lang="en-US" b="1" baseline="0"/>
              <a:t>-wise Sales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'Product-wise_sales'!$B$3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'Product-wise_sales'!$A$4:$A$9</c:f>
              <c:strCache>
                <c:ptCount val="5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Mouse</c:v>
                </c:pt>
                <c:pt idx="4">
                  <c:v>Phone</c:v>
                </c:pt>
              </c:strCache>
            </c:strRef>
          </c:cat>
          <c:val>
            <c:numRef>
              <c:f>'Product-wise_sales'!$B$4:$B$9</c:f>
              <c:numCache>
                <c:formatCode>_("₹"* #,##0.00_);_("₹"* \(#,##0.00\);_("₹"* "-"??_);_(@_)</c:formatCode>
                <c:ptCount val="5"/>
                <c:pt idx="0">
                  <c:v>36075</c:v>
                </c:pt>
                <c:pt idx="1">
                  <c:v>24665</c:v>
                </c:pt>
                <c:pt idx="2">
                  <c:v>616400</c:v>
                </c:pt>
                <c:pt idx="3">
                  <c:v>20365</c:v>
                </c:pt>
                <c:pt idx="4">
                  <c:v>247950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C-4C72-B207-07FF7663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9053439"/>
        <c:axId val="1849052607"/>
        <c:axId val="0"/>
      </c:bar3DChart>
      <c:catAx>
        <c:axId val="184905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52607"/>
        <c:crosses val="autoZero"/>
        <c:auto val="1"/>
        <c:lblAlgn val="ctr"/>
        <c:lblOffset val="100"/>
        <c:noMultiLvlLbl val="0"/>
      </c:catAx>
      <c:valAx>
        <c:axId val="18490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5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WORKSHEET.xlsx]Regional-sales_Analysis!PivotTable3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'Regional-sales_Analysis'!$B$3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'Regional-sales_Analysis'!$A$4:$A$7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'Regional-sales_Analysis'!$B$4:$B$7</c:f>
              <c:numCache>
                <c:formatCode>_("₹"* #,##0.00_);_("₹"* \(#,##0.00\);_("₹"* "-"??_);_(@_)</c:formatCode>
                <c:ptCount val="3"/>
                <c:pt idx="0">
                  <c:v>390815</c:v>
                </c:pt>
                <c:pt idx="1">
                  <c:v>237015</c:v>
                </c:pt>
                <c:pt idx="2">
                  <c:v>317625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A-4536-B025-AF91E19D2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5531871"/>
        <c:axId val="1855522719"/>
        <c:axId val="0"/>
      </c:bar3DChart>
      <c:catAx>
        <c:axId val="185553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22719"/>
        <c:crosses val="autoZero"/>
        <c:auto val="1"/>
        <c:lblAlgn val="ctr"/>
        <c:lblOffset val="100"/>
        <c:noMultiLvlLbl val="0"/>
      </c:catAx>
      <c:valAx>
        <c:axId val="18555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53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WORKSHEET.xlsx]Monthly-sales_Analysis!PivotTable4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Monthly Sales Trend</a:t>
            </a:r>
          </a:p>
        </c:rich>
      </c:tx>
      <c:layout>
        <c:manualLayout>
          <c:xMode val="edge"/>
          <c:yMode val="edge"/>
          <c:x val="0.36869770562886373"/>
          <c:y val="1.4095830187052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'Monthly-sales_Analysis'!$B$3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'Monthly-sales_Analysis'!$A$4:$A$13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'Monthly-sales_Analysis'!$B$4:$B$13</c:f>
              <c:numCache>
                <c:formatCode>_("₹"* #,##0.00_);_("₹"* \(#,##0.00\);_("₹"* "-"??_);_(@_)</c:formatCode>
                <c:ptCount val="9"/>
                <c:pt idx="0">
                  <c:v>99650</c:v>
                </c:pt>
                <c:pt idx="1">
                  <c:v>65350</c:v>
                </c:pt>
                <c:pt idx="2">
                  <c:v>134190</c:v>
                </c:pt>
                <c:pt idx="3">
                  <c:v>85660</c:v>
                </c:pt>
                <c:pt idx="4">
                  <c:v>173705</c:v>
                </c:pt>
                <c:pt idx="5">
                  <c:v>35820</c:v>
                </c:pt>
                <c:pt idx="6">
                  <c:v>121852.5</c:v>
                </c:pt>
                <c:pt idx="7">
                  <c:v>88650</c:v>
                </c:pt>
                <c:pt idx="8">
                  <c:v>140577.5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D3-46E9-A698-2E4091BF0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166335"/>
        <c:axId val="1577167583"/>
      </c:lineChart>
      <c:catAx>
        <c:axId val="15771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67583"/>
        <c:crosses val="autoZero"/>
        <c:auto val="1"/>
        <c:lblAlgn val="ctr"/>
        <c:lblOffset val="100"/>
        <c:noMultiLvlLbl val="0"/>
      </c:catAx>
      <c:valAx>
        <c:axId val="157716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6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29309</xdr:colOff>
      <xdr:row>7</xdr:row>
      <xdr:rowOff>14653</xdr:rowOff>
    </xdr:from>
    <xdr:to>
      <xdr:col>5</xdr:col>
      <xdr:colOff>219808</xdr:colOff>
      <xdr:row>22</xdr:row>
      <xdr:rowOff>161191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542193</xdr:colOff>
      <xdr:row>7</xdr:row>
      <xdr:rowOff>10296</xdr:rowOff>
    </xdr:from>
    <xdr:to>
      <xdr:col>12</xdr:col>
      <xdr:colOff>58616</xdr:colOff>
      <xdr:row>23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3014507</xdr:colOff>
      <xdr:row>23</xdr:row>
      <xdr:rowOff>128574</xdr:rowOff>
    </xdr:from>
    <xdr:to>
      <xdr:col>9</xdr:col>
      <xdr:colOff>126651</xdr:colOff>
      <xdr:row>38</xdr:row>
      <xdr:rowOff>142089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14</xdr:col>
      <xdr:colOff>40820</xdr:colOff>
      <xdr:row>22</xdr:row>
      <xdr:rowOff>56731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7</xdr:row>
      <xdr:rowOff>118110</xdr:rowOff>
    </xdr:from>
    <xdr:to>
      <xdr:col>12</xdr:col>
      <xdr:colOff>289560</xdr:colOff>
      <xdr:row>22</xdr:row>
      <xdr:rowOff>118110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15</xdr:col>
      <xdr:colOff>214572</xdr:colOff>
      <xdr:row>19</xdr:row>
      <xdr:rowOff>106587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6.449850231482" createdVersion="6" refreshedVersion="6" minRefreshableVersion="3" recordCount="30">
  <cacheSource type="worksheet">
    <worksheetSource name="Table2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5-01-05T00:00:00" maxDate="2025-09-26T00:00:00" count="30">
        <d v="2025-01-05T00:00:00"/>
        <d v="2025-01-12T00:00:00"/>
        <d v="2025-01-20T00:00:00"/>
        <d v="2025-02-03T00:00:00"/>
        <d v="2025-02-15T00:00:00"/>
        <d v="2025-02-25T00:00:00"/>
        <d v="2025-03-05T00:00:00"/>
        <d v="2025-03-14T00:00:00"/>
        <d v="2025-03-22T00:00:00"/>
        <d v="2025-03-30T00:00:00"/>
        <d v="2025-04-07T00:00:00"/>
        <d v="2025-04-16T00:00:00"/>
        <d v="2025-04-24T00:00:00"/>
        <d v="2025-05-02T00:00:00"/>
        <d v="2025-05-11T00:00:00"/>
        <d v="2025-05-19T00:00:00"/>
        <d v="2025-05-28T00:00:00"/>
        <d v="2025-06-06T00:00:00"/>
        <d v="2025-06-15T00:00:00"/>
        <d v="2025-06-23T00:00:00"/>
        <d v="2025-07-04T00:00:00"/>
        <d v="2025-07-13T00:00:00"/>
        <d v="2025-07-21T00:00:00"/>
        <d v="2025-07-29T00:00:00"/>
        <d v="2025-08-08T00:00:00"/>
        <d v="2025-08-17T00:00:00"/>
        <d v="2025-08-26T00:00:00"/>
        <d v="2025-09-05T00:00:00"/>
        <d v="2025-09-15T00:00:00"/>
        <d v="2025-09-25T00:00:00"/>
      </sharedItems>
      <fieldGroup par="14" base="1">
        <rangePr groupBy="days" startDate="2025-01-05T00:00:00" endDate="2025-09-26T00:00:00"/>
        <groupItems count="368">
          <s v="&lt;05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09-2025"/>
        </groupItems>
      </fieldGroup>
    </cacheField>
    <cacheField name="Customer_Type" numFmtId="0">
      <sharedItems count="3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</sharedItems>
    </cacheField>
    <cacheField name="Customer_type2" numFmtId="0">
      <sharedItems count="2">
        <s v="New"/>
        <s v="Returning"/>
      </sharedItems>
    </cacheField>
    <cacheField name="Product" numFmtId="0">
      <sharedItems count="5">
        <s v="Laptop"/>
        <s v="Mouse"/>
        <s v="Phone"/>
        <s v="Keyboard"/>
        <s v="Headphones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3">
        <s v="South"/>
        <s v="North"/>
        <s v="West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44">
      <sharedItems containsSemiMixedTypes="0" containsString="0" containsNumber="1" containsInteger="1" minValue="750" maxValue="62000"/>
    </cacheField>
    <cacheField name="Cost_Price" numFmtId="44">
      <sharedItems containsSemiMixedTypes="0" containsString="0" containsNumber="1" containsInteger="1" minValue="450" maxValue="47000"/>
    </cacheField>
    <cacheField name="Discount" numFmtId="9">
      <sharedItems containsSemiMixedTypes="0" containsString="0" containsNumber="1" minValue="0" maxValue="0.1"/>
    </cacheField>
    <cacheField name="Payment_Mode" numFmtId="0">
      <sharedItems/>
    </cacheField>
    <cacheField name="Sales" numFmtId="44">
      <sharedItems containsSemiMixedTypes="0" containsString="0" containsNumber="1" minValue="2400" maxValue="124000"/>
    </cacheField>
    <cacheField name="Profit" numFmtId="44">
      <sharedItems containsSemiMixedTypes="0" containsString="0" containsNumber="1" minValue="900" maxValue="30000"/>
    </cacheField>
    <cacheField name="Months" numFmtId="0" databaseField="0">
      <fieldGroup base="1">
        <rangePr groupBy="months" startDate="2025-01-05T00:00:00" endDate="2025-09-26T00:00:00"/>
        <groupItems count="14">
          <s v="&lt;05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ORD001"/>
    <x v="0"/>
    <x v="0"/>
    <x v="0"/>
    <x v="0"/>
    <x v="0"/>
    <x v="0"/>
    <n v="1"/>
    <n v="55000"/>
    <n v="42000"/>
    <n v="0.05"/>
    <s v="UPI"/>
    <n v="52250"/>
    <n v="12350"/>
  </r>
  <r>
    <s v="ORD002"/>
    <x v="1"/>
    <x v="1"/>
    <x v="1"/>
    <x v="1"/>
    <x v="1"/>
    <x v="1"/>
    <n v="3"/>
    <n v="800"/>
    <n v="500"/>
    <n v="0"/>
    <s v="Card"/>
    <n v="2400"/>
    <n v="900"/>
  </r>
  <r>
    <s v="ORD003"/>
    <x v="2"/>
    <x v="2"/>
    <x v="0"/>
    <x v="2"/>
    <x v="0"/>
    <x v="2"/>
    <n v="2"/>
    <n v="25000"/>
    <n v="19000"/>
    <n v="0.1"/>
    <s v="Cash"/>
    <n v="45000"/>
    <n v="10800"/>
  </r>
  <r>
    <s v="ORD004"/>
    <x v="3"/>
    <x v="3"/>
    <x v="0"/>
    <x v="3"/>
    <x v="1"/>
    <x v="0"/>
    <n v="2"/>
    <n v="1500"/>
    <n v="900"/>
    <n v="0.05"/>
    <s v="UPI"/>
    <n v="2850"/>
    <n v="1140"/>
  </r>
  <r>
    <s v="ORD005"/>
    <x v="4"/>
    <x v="4"/>
    <x v="1"/>
    <x v="0"/>
    <x v="0"/>
    <x v="1"/>
    <n v="1"/>
    <n v="58000"/>
    <n v="44000"/>
    <n v="0"/>
    <s v="Card"/>
    <n v="58000"/>
    <n v="14000"/>
  </r>
  <r>
    <s v="ORD006"/>
    <x v="5"/>
    <x v="5"/>
    <x v="0"/>
    <x v="4"/>
    <x v="1"/>
    <x v="2"/>
    <n v="2"/>
    <n v="2500"/>
    <n v="1500"/>
    <n v="0.1"/>
    <s v="UPI"/>
    <n v="4500"/>
    <n v="1800"/>
  </r>
  <r>
    <s v="ORD007"/>
    <x v="6"/>
    <x v="6"/>
    <x v="1"/>
    <x v="2"/>
    <x v="0"/>
    <x v="0"/>
    <n v="1"/>
    <n v="27000"/>
    <n v="20000"/>
    <n v="0.05"/>
    <s v="Card"/>
    <n v="25650"/>
    <n v="6650"/>
  </r>
  <r>
    <s v="ORD008"/>
    <x v="7"/>
    <x v="7"/>
    <x v="0"/>
    <x v="1"/>
    <x v="1"/>
    <x v="1"/>
    <n v="5"/>
    <n v="750"/>
    <n v="450"/>
    <n v="0"/>
    <s v="Cash"/>
    <n v="3750"/>
    <n v="1500"/>
  </r>
  <r>
    <s v="ORD009"/>
    <x v="8"/>
    <x v="8"/>
    <x v="1"/>
    <x v="0"/>
    <x v="0"/>
    <x v="2"/>
    <n v="2"/>
    <n v="56000"/>
    <n v="43000"/>
    <n v="0.1"/>
    <s v="UPI"/>
    <n v="100800"/>
    <n v="23400"/>
  </r>
  <r>
    <s v="ORD010"/>
    <x v="9"/>
    <x v="9"/>
    <x v="0"/>
    <x v="3"/>
    <x v="1"/>
    <x v="0"/>
    <n v="3"/>
    <n v="1400"/>
    <n v="850"/>
    <n v="0.05"/>
    <s v="Card"/>
    <n v="3990"/>
    <n v="1567.5"/>
  </r>
  <r>
    <s v="ORD011"/>
    <x v="10"/>
    <x v="10"/>
    <x v="0"/>
    <x v="2"/>
    <x v="0"/>
    <x v="1"/>
    <n v="1"/>
    <n v="26000"/>
    <n v="19500"/>
    <n v="0"/>
    <s v="UPI"/>
    <n v="26000"/>
    <n v="6500"/>
  </r>
  <r>
    <s v="ORD012"/>
    <x v="11"/>
    <x v="11"/>
    <x v="1"/>
    <x v="4"/>
    <x v="1"/>
    <x v="2"/>
    <n v="4"/>
    <n v="2200"/>
    <n v="1300"/>
    <n v="0.05"/>
    <s v="Cash"/>
    <n v="8360"/>
    <n v="3420"/>
  </r>
  <r>
    <s v="ORD013"/>
    <x v="12"/>
    <x v="12"/>
    <x v="0"/>
    <x v="0"/>
    <x v="0"/>
    <x v="0"/>
    <n v="1"/>
    <n v="57000"/>
    <n v="43500"/>
    <n v="0.1"/>
    <s v="Card"/>
    <n v="51300"/>
    <n v="12150"/>
  </r>
  <r>
    <s v="ORD014"/>
    <x v="13"/>
    <x v="13"/>
    <x v="1"/>
    <x v="1"/>
    <x v="1"/>
    <x v="1"/>
    <n v="6"/>
    <n v="850"/>
    <n v="500"/>
    <n v="0.05"/>
    <s v="UPI"/>
    <n v="4845"/>
    <n v="1995"/>
  </r>
  <r>
    <s v="ORD015"/>
    <x v="14"/>
    <x v="14"/>
    <x v="0"/>
    <x v="2"/>
    <x v="0"/>
    <x v="2"/>
    <n v="2"/>
    <n v="25500"/>
    <n v="19000"/>
    <n v="0"/>
    <s v="Cash"/>
    <n v="51000"/>
    <n v="13000"/>
  </r>
  <r>
    <s v="ORD016"/>
    <x v="15"/>
    <x v="15"/>
    <x v="1"/>
    <x v="3"/>
    <x v="1"/>
    <x v="0"/>
    <n v="4"/>
    <n v="1600"/>
    <n v="950"/>
    <n v="0.1"/>
    <s v="Card"/>
    <n v="5760"/>
    <n v="2340"/>
  </r>
  <r>
    <s v="ORD017"/>
    <x v="16"/>
    <x v="16"/>
    <x v="0"/>
    <x v="0"/>
    <x v="0"/>
    <x v="1"/>
    <n v="2"/>
    <n v="59000"/>
    <n v="45000"/>
    <n v="0.05"/>
    <s v="UPI"/>
    <n v="112100"/>
    <n v="26600"/>
  </r>
  <r>
    <s v="ORD018"/>
    <x v="17"/>
    <x v="17"/>
    <x v="1"/>
    <x v="4"/>
    <x v="1"/>
    <x v="2"/>
    <n v="3"/>
    <n v="2400"/>
    <n v="1450"/>
    <n v="0"/>
    <s v="Cash"/>
    <n v="7200"/>
    <n v="2850"/>
  </r>
  <r>
    <s v="ORD019"/>
    <x v="18"/>
    <x v="18"/>
    <x v="0"/>
    <x v="2"/>
    <x v="0"/>
    <x v="0"/>
    <n v="1"/>
    <n v="28000"/>
    <n v="21000"/>
    <n v="0.1"/>
    <s v="UPI"/>
    <n v="25200"/>
    <n v="6300"/>
  </r>
  <r>
    <s v="ORD020"/>
    <x v="19"/>
    <x v="19"/>
    <x v="1"/>
    <x v="1"/>
    <x v="1"/>
    <x v="1"/>
    <n v="4"/>
    <n v="900"/>
    <n v="550"/>
    <n v="0.05"/>
    <s v="Card"/>
    <n v="3420"/>
    <n v="1330"/>
  </r>
  <r>
    <s v="ORD021"/>
    <x v="20"/>
    <x v="20"/>
    <x v="0"/>
    <x v="0"/>
    <x v="0"/>
    <x v="2"/>
    <n v="1"/>
    <n v="60000"/>
    <n v="46000"/>
    <n v="0"/>
    <s v="UPI"/>
    <n v="60000"/>
    <n v="14000"/>
  </r>
  <r>
    <s v="ORD022"/>
    <x v="21"/>
    <x v="21"/>
    <x v="1"/>
    <x v="3"/>
    <x v="1"/>
    <x v="0"/>
    <n v="5"/>
    <n v="1550"/>
    <n v="900"/>
    <n v="0.05"/>
    <s v="Cash"/>
    <n v="7362.5"/>
    <n v="3087.5"/>
  </r>
  <r>
    <s v="ORD023"/>
    <x v="22"/>
    <x v="22"/>
    <x v="0"/>
    <x v="2"/>
    <x v="0"/>
    <x v="1"/>
    <n v="2"/>
    <n v="26500"/>
    <n v="20000"/>
    <n v="0.05"/>
    <s v="Card"/>
    <n v="50350"/>
    <n v="12350"/>
  </r>
  <r>
    <s v="ORD024"/>
    <x v="23"/>
    <x v="23"/>
    <x v="1"/>
    <x v="4"/>
    <x v="1"/>
    <x v="2"/>
    <n v="2"/>
    <n v="2300"/>
    <n v="1400"/>
    <n v="0.1"/>
    <s v="UPI"/>
    <n v="4140"/>
    <n v="1620"/>
  </r>
  <r>
    <s v="ORD025"/>
    <x v="24"/>
    <x v="24"/>
    <x v="0"/>
    <x v="0"/>
    <x v="0"/>
    <x v="0"/>
    <n v="1"/>
    <n v="61000"/>
    <n v="46500"/>
    <n v="0.05"/>
    <s v="Card"/>
    <n v="57950"/>
    <n v="13775"/>
  </r>
  <r>
    <s v="ORD026"/>
    <x v="25"/>
    <x v="25"/>
    <x v="1"/>
    <x v="1"/>
    <x v="1"/>
    <x v="1"/>
    <n v="7"/>
    <n v="850"/>
    <n v="500"/>
    <n v="0"/>
    <s v="Cash"/>
    <n v="5950"/>
    <n v="2450"/>
  </r>
  <r>
    <s v="ORD027"/>
    <x v="26"/>
    <x v="26"/>
    <x v="0"/>
    <x v="2"/>
    <x v="0"/>
    <x v="2"/>
    <n v="1"/>
    <n v="27500"/>
    <n v="20500"/>
    <n v="0.1"/>
    <s v="UPI"/>
    <n v="24750"/>
    <n v="6300"/>
  </r>
  <r>
    <s v="ORD028"/>
    <x v="27"/>
    <x v="27"/>
    <x v="1"/>
    <x v="3"/>
    <x v="1"/>
    <x v="0"/>
    <n v="3"/>
    <n v="1650"/>
    <n v="950"/>
    <n v="0.05"/>
    <s v="Card"/>
    <n v="4702.5"/>
    <n v="1995"/>
  </r>
  <r>
    <s v="ORD029"/>
    <x v="28"/>
    <x v="28"/>
    <x v="0"/>
    <x v="0"/>
    <x v="0"/>
    <x v="1"/>
    <n v="2"/>
    <n v="62000"/>
    <n v="47000"/>
    <n v="0"/>
    <s v="UPI"/>
    <n v="124000"/>
    <n v="30000"/>
  </r>
  <r>
    <s v="ORD030"/>
    <x v="29"/>
    <x v="29"/>
    <x v="1"/>
    <x v="4"/>
    <x v="1"/>
    <x v="2"/>
    <n v="5"/>
    <n v="2500"/>
    <n v="1500"/>
    <n v="0.05"/>
    <s v="Cash"/>
    <n v="11875"/>
    <n v="4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9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9" showAll="0"/>
    <pivotField showAll="0"/>
    <pivotField dataField="1"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2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9" showAll="0"/>
    <pivotField showAll="0"/>
    <pivotField dataField="1"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7" firstHeaderRow="1" firstDataRow="1" firstDataCol="1"/>
  <pivotFields count="15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44" showAll="0"/>
    <pivotField numFmtId="44" showAll="0"/>
    <pivotField numFmtId="9" showAll="0"/>
    <pivotField showAll="0"/>
    <pivotField dataField="1" numFmtId="44" showAll="0"/>
    <pivotField numFmtId="44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3" firstHeaderRow="1" firstDataRow="1" firstDataCol="1"/>
  <pivotFields count="15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numFmtId="44" showAll="0"/>
    <pivotField numFmtId="44" showAll="0"/>
    <pivotField numFmtId="9" showAll="0"/>
    <pivotField showAll="0"/>
    <pivotField dataField="1" numFmtId="44" showAll="0"/>
    <pivotField numFmtId="4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4"/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5">
    <pivotField showAll="0"/>
    <pivotField numFmtId="14" showAll="0"/>
    <pivotField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44" showAll="0"/>
    <pivotField numFmtId="44" showAll="0"/>
    <pivotField numFmtId="9" showAll="0"/>
    <pivotField showAll="0"/>
    <pivotField dataField="1" numFmtId="44" showAll="0"/>
    <pivotField numFmtId="44" showAll="0"/>
    <pivotField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N31" totalsRowShown="0" dataDxfId="6" dataCellStyle="Currency">
  <autoFilter ref="A1:N31"/>
  <tableColumns count="14">
    <tableColumn id="1" name="Order_ID"/>
    <tableColumn id="2" name="Order_Date" dataDxfId="5"/>
    <tableColumn id="3" name="Customer_ID"/>
    <tableColumn id="4" name="Customer_Type"/>
    <tableColumn id="5" name="Product"/>
    <tableColumn id="6" name="Category"/>
    <tableColumn id="7" name="Region"/>
    <tableColumn id="8" name="Quantity"/>
    <tableColumn id="9" name="Unit_Price" dataDxfId="4" dataCellStyle="Currency"/>
    <tableColumn id="10" name="Cost_Price" dataDxfId="3" dataCellStyle="Currency"/>
    <tableColumn id="11" name="Discount" dataDxfId="2"/>
    <tableColumn id="12" name="Payment_Mode"/>
    <tableColumn id="13" name="Sales" dataDxfId="1" dataCellStyle="Currency">
      <calculatedColumnFormula>H2*I2*(1-K2)</calculatedColumnFormula>
    </tableColumn>
    <tableColumn id="14" name="Profit" dataDxfId="0" dataCellStyle="Currency">
      <calculatedColumnFormula>(I2-J2)*H2*(1-K2)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showGridLines="0" tabSelected="1" zoomScale="76" zoomScaleNormal="65" workbookViewId="0">
      <selection activeCell="U4" sqref="U4"/>
    </sheetView>
  </sheetViews>
  <sheetFormatPr defaultRowHeight="14.4" x14ac:dyDescent="0.3"/>
  <cols>
    <col min="1" max="1" width="17.6640625" customWidth="1"/>
    <col min="2" max="2" width="44.21875" customWidth="1"/>
    <col min="3" max="3" width="16.109375" customWidth="1"/>
    <col min="4" max="4" width="5.44140625" customWidth="1"/>
    <col min="5" max="5" width="21.109375" customWidth="1"/>
    <col min="8" max="8" width="19" customWidth="1"/>
    <col min="9" max="9" width="10.5546875" customWidth="1"/>
    <col min="11" max="11" width="19.21875" customWidth="1"/>
  </cols>
  <sheetData>
    <row r="1" spans="1:24" ht="15" thickBot="1" x14ac:dyDescent="0.35"/>
    <row r="2" spans="1:24" ht="30" thickBot="1" x14ac:dyDescent="0.5">
      <c r="A2" s="24" t="s">
        <v>118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4"/>
      <c r="Q2" s="14"/>
      <c r="R2" s="14"/>
      <c r="S2" s="14"/>
      <c r="T2" s="14"/>
      <c r="U2" s="14"/>
      <c r="V2" s="14"/>
      <c r="W2" s="14"/>
      <c r="X2" s="15"/>
    </row>
    <row r="3" spans="1:24" ht="14.4" customHeight="1" x14ac:dyDescent="0.4">
      <c r="B3" s="8"/>
      <c r="C3" s="7"/>
      <c r="E3" s="7"/>
      <c r="F3" s="7"/>
      <c r="H3" s="9"/>
      <c r="I3" s="9"/>
    </row>
    <row r="4" spans="1:24" ht="23.4" x14ac:dyDescent="0.45">
      <c r="B4" s="13" t="s">
        <v>102</v>
      </c>
      <c r="E4" s="16" t="s">
        <v>103</v>
      </c>
      <c r="F4" s="17"/>
      <c r="H4" s="29" t="s">
        <v>117</v>
      </c>
      <c r="I4" s="30"/>
      <c r="K4" s="22" t="s">
        <v>104</v>
      </c>
      <c r="L4" s="23"/>
    </row>
    <row r="5" spans="1:24" ht="14.4" customHeight="1" x14ac:dyDescent="0.4">
      <c r="B5" s="11"/>
      <c r="E5" s="18"/>
      <c r="F5" s="19"/>
      <c r="H5" s="33"/>
      <c r="I5" s="34"/>
      <c r="K5" s="37"/>
      <c r="L5" s="38"/>
    </row>
    <row r="6" spans="1:24" ht="23.4" x14ac:dyDescent="0.3">
      <c r="B6" s="12">
        <f>SUM(Cleaned_Data!M2:M31)</f>
        <v>945455</v>
      </c>
      <c r="E6" s="20">
        <f>SUM(Cleaned_Data!N2:N31)</f>
        <v>240920</v>
      </c>
      <c r="F6" s="21"/>
      <c r="H6" s="31">
        <f>COUNTA(Cleaned_Data!A2:A31)</f>
        <v>30</v>
      </c>
      <c r="I6" s="32"/>
      <c r="K6" s="35">
        <f>SUM(Cleaned_Data!H2:H31)</f>
        <v>79</v>
      </c>
      <c r="L6" s="36"/>
    </row>
    <row r="16" spans="1:24" x14ac:dyDescent="0.3">
      <c r="G16" s="7"/>
    </row>
    <row r="27" spans="2:2" x14ac:dyDescent="0.3">
      <c r="B27" s="7"/>
    </row>
    <row r="31" spans="2:2" x14ac:dyDescent="0.3">
      <c r="B31" s="7"/>
    </row>
    <row r="39" spans="2:20" x14ac:dyDescent="0.3">
      <c r="B39" s="10"/>
      <c r="T39">
        <f>SUM(T10)</f>
        <v>0</v>
      </c>
    </row>
    <row r="40" spans="2:20" ht="13.8" customHeight="1" x14ac:dyDescent="0.3"/>
    <row r="41" spans="2:20" hidden="1" x14ac:dyDescent="0.3"/>
    <row r="42" spans="2:20" ht="73.8" customHeight="1" x14ac:dyDescent="0.35">
      <c r="B42" s="26" t="s">
        <v>111</v>
      </c>
      <c r="C42" s="27"/>
      <c r="D42" s="28"/>
      <c r="E42" s="6"/>
      <c r="F42" s="6"/>
      <c r="G42" s="26" t="s">
        <v>110</v>
      </c>
      <c r="H42" s="27"/>
      <c r="I42" s="27"/>
      <c r="J42" s="27"/>
      <c r="K42" s="28"/>
    </row>
    <row r="43" spans="2:20" ht="72" customHeight="1" x14ac:dyDescent="0.35">
      <c r="B43" s="49" t="s">
        <v>109</v>
      </c>
      <c r="C43" s="50"/>
      <c r="D43" s="51"/>
      <c r="E43" s="6"/>
      <c r="F43" s="6"/>
      <c r="G43" s="39" t="s">
        <v>112</v>
      </c>
      <c r="H43" s="40"/>
      <c r="I43" s="40"/>
      <c r="J43" s="40"/>
      <c r="K43" s="41"/>
    </row>
    <row r="44" spans="2:20" ht="64.2" customHeight="1" x14ac:dyDescent="0.4">
      <c r="B44" s="52" t="s">
        <v>105</v>
      </c>
      <c r="C44" s="53"/>
      <c r="D44" s="54"/>
      <c r="E44" s="6"/>
      <c r="F44" s="6"/>
      <c r="G44" s="42" t="s">
        <v>113</v>
      </c>
      <c r="H44" s="43"/>
      <c r="I44" s="43"/>
      <c r="J44" s="43"/>
      <c r="K44" s="44"/>
    </row>
    <row r="45" spans="2:20" ht="78" customHeight="1" x14ac:dyDescent="0.4">
      <c r="B45" s="52" t="s">
        <v>106</v>
      </c>
      <c r="C45" s="53"/>
      <c r="D45" s="54"/>
      <c r="E45" s="6"/>
      <c r="F45" s="6"/>
      <c r="G45" s="45" t="s">
        <v>114</v>
      </c>
      <c r="H45" s="43"/>
      <c r="I45" s="43"/>
      <c r="J45" s="43"/>
      <c r="K45" s="44"/>
    </row>
    <row r="46" spans="2:20" ht="84" customHeight="1" x14ac:dyDescent="0.4">
      <c r="B46" s="52" t="s">
        <v>107</v>
      </c>
      <c r="C46" s="53"/>
      <c r="D46" s="54"/>
      <c r="E46" s="6"/>
      <c r="F46" s="6"/>
      <c r="G46" s="46" t="s">
        <v>115</v>
      </c>
      <c r="H46" s="47"/>
      <c r="I46" s="47"/>
      <c r="J46" s="47"/>
      <c r="K46" s="48"/>
    </row>
    <row r="47" spans="2:20" ht="84" customHeight="1" x14ac:dyDescent="0.4">
      <c r="B47" s="55" t="s">
        <v>108</v>
      </c>
      <c r="C47" s="56"/>
      <c r="D47" s="57"/>
      <c r="G47" s="58" t="s">
        <v>116</v>
      </c>
      <c r="H47" s="59"/>
      <c r="I47" s="59"/>
      <c r="J47" s="59"/>
      <c r="K47" s="60"/>
    </row>
  </sheetData>
  <mergeCells count="22">
    <mergeCell ref="B47:D47"/>
    <mergeCell ref="B42:D42"/>
    <mergeCell ref="G47:K47"/>
    <mergeCell ref="G43:K43"/>
    <mergeCell ref="G44:K44"/>
    <mergeCell ref="G45:K45"/>
    <mergeCell ref="G46:K46"/>
    <mergeCell ref="B43:D43"/>
    <mergeCell ref="B44:D44"/>
    <mergeCell ref="B45:D45"/>
    <mergeCell ref="B46:D46"/>
    <mergeCell ref="G42:K42"/>
    <mergeCell ref="H4:I4"/>
    <mergeCell ref="H6:I6"/>
    <mergeCell ref="H5:I5"/>
    <mergeCell ref="K6:L6"/>
    <mergeCell ref="K5:L5"/>
    <mergeCell ref="E4:F4"/>
    <mergeCell ref="E5:F5"/>
    <mergeCell ref="E6:F6"/>
    <mergeCell ref="K4:L4"/>
    <mergeCell ref="A2:O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H1" sqref="H1"/>
    </sheetView>
  </sheetViews>
  <sheetFormatPr defaultRowHeight="14.4" x14ac:dyDescent="0.3"/>
  <cols>
    <col min="2" max="2" width="13.33203125" customWidth="1"/>
    <col min="3" max="3" width="13.5546875" customWidth="1"/>
    <col min="4" max="4" width="14.88671875" customWidth="1"/>
    <col min="5" max="5" width="11" customWidth="1"/>
    <col min="6" max="6" width="11.5546875" customWidth="1"/>
    <col min="9" max="9" width="11.6640625" customWidth="1"/>
    <col min="10" max="10" width="13.109375" customWidth="1"/>
    <col min="12" max="12" width="14.77734375" customWidth="1"/>
    <col min="13" max="13" width="12.77734375" bestFit="1" customWidth="1"/>
    <col min="14" max="14" width="11.33203125" bestFit="1" customWidth="1"/>
  </cols>
  <sheetData>
    <row r="1" spans="1:14" x14ac:dyDescent="0.3">
      <c r="A1" t="s">
        <v>0</v>
      </c>
      <c r="B1" t="s">
        <v>1</v>
      </c>
      <c r="C1" t="s">
        <v>101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45662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s="3">
        <v>55000</v>
      </c>
      <c r="J2" s="3">
        <v>42000</v>
      </c>
      <c r="K2" s="2">
        <v>0.05</v>
      </c>
      <c r="L2" t="s">
        <v>20</v>
      </c>
      <c r="M2" s="3">
        <f>H2*I2*(1-K2)</f>
        <v>52250</v>
      </c>
      <c r="N2" s="3">
        <f>(I2-J2)*H2*(1-K2)</f>
        <v>12350</v>
      </c>
    </row>
    <row r="3" spans="1:14" x14ac:dyDescent="0.3">
      <c r="A3" t="s">
        <v>21</v>
      </c>
      <c r="B3" s="1">
        <v>45669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 s="3">
        <v>800</v>
      </c>
      <c r="J3" s="3">
        <v>500</v>
      </c>
      <c r="K3" s="2">
        <v>0</v>
      </c>
      <c r="L3" t="s">
        <v>27</v>
      </c>
      <c r="M3" s="3">
        <f t="shared" ref="M3:M29" si="0">H3*I3*(1-K3)</f>
        <v>2400</v>
      </c>
      <c r="N3" s="3">
        <f t="shared" ref="N3:N29" si="1">(I3-J3)*H3*(1-K3)</f>
        <v>900</v>
      </c>
    </row>
    <row r="4" spans="1:14" x14ac:dyDescent="0.3">
      <c r="A4" t="s">
        <v>28</v>
      </c>
      <c r="B4" s="1">
        <v>45677</v>
      </c>
      <c r="C4" t="s">
        <v>29</v>
      </c>
      <c r="D4" t="s">
        <v>16</v>
      </c>
      <c r="E4" t="s">
        <v>30</v>
      </c>
      <c r="F4" t="s">
        <v>18</v>
      </c>
      <c r="G4" t="s">
        <v>31</v>
      </c>
      <c r="H4">
        <v>2</v>
      </c>
      <c r="I4" s="3">
        <v>25000</v>
      </c>
      <c r="J4" s="3">
        <v>19000</v>
      </c>
      <c r="K4" s="2">
        <v>0.1</v>
      </c>
      <c r="L4" t="s">
        <v>32</v>
      </c>
      <c r="M4" s="3">
        <f t="shared" si="0"/>
        <v>45000</v>
      </c>
      <c r="N4" s="3">
        <f t="shared" si="1"/>
        <v>10800</v>
      </c>
    </row>
    <row r="5" spans="1:14" x14ac:dyDescent="0.3">
      <c r="A5" t="s">
        <v>33</v>
      </c>
      <c r="B5" s="1">
        <v>45691</v>
      </c>
      <c r="C5" t="s">
        <v>34</v>
      </c>
      <c r="D5" t="s">
        <v>16</v>
      </c>
      <c r="E5" t="s">
        <v>35</v>
      </c>
      <c r="F5" t="s">
        <v>25</v>
      </c>
      <c r="G5" t="s">
        <v>19</v>
      </c>
      <c r="H5">
        <v>2</v>
      </c>
      <c r="I5" s="3">
        <v>1500</v>
      </c>
      <c r="J5" s="3">
        <v>900</v>
      </c>
      <c r="K5" s="2">
        <v>0.05</v>
      </c>
      <c r="L5" t="s">
        <v>20</v>
      </c>
      <c r="M5" s="3">
        <f t="shared" si="0"/>
        <v>2850</v>
      </c>
      <c r="N5" s="3">
        <f t="shared" si="1"/>
        <v>1140</v>
      </c>
    </row>
    <row r="6" spans="1:14" x14ac:dyDescent="0.3">
      <c r="A6" t="s">
        <v>36</v>
      </c>
      <c r="B6" s="1">
        <v>45703</v>
      </c>
      <c r="C6" t="s">
        <v>37</v>
      </c>
      <c r="D6" t="s">
        <v>23</v>
      </c>
      <c r="E6" t="s">
        <v>17</v>
      </c>
      <c r="F6" t="s">
        <v>18</v>
      </c>
      <c r="G6" t="s">
        <v>26</v>
      </c>
      <c r="H6">
        <v>1</v>
      </c>
      <c r="I6" s="3">
        <v>58000</v>
      </c>
      <c r="J6" s="3">
        <v>44000</v>
      </c>
      <c r="K6" s="2">
        <v>0</v>
      </c>
      <c r="L6" t="s">
        <v>27</v>
      </c>
      <c r="M6" s="3">
        <f t="shared" si="0"/>
        <v>58000</v>
      </c>
      <c r="N6" s="3">
        <f t="shared" si="1"/>
        <v>14000</v>
      </c>
    </row>
    <row r="7" spans="1:14" x14ac:dyDescent="0.3">
      <c r="A7" t="s">
        <v>38</v>
      </c>
      <c r="B7" s="1">
        <v>45713</v>
      </c>
      <c r="C7" t="s">
        <v>39</v>
      </c>
      <c r="D7" t="s">
        <v>16</v>
      </c>
      <c r="E7" t="s">
        <v>40</v>
      </c>
      <c r="F7" t="s">
        <v>25</v>
      </c>
      <c r="G7" t="s">
        <v>31</v>
      </c>
      <c r="H7">
        <v>2</v>
      </c>
      <c r="I7" s="3">
        <v>2500</v>
      </c>
      <c r="J7" s="3">
        <v>1500</v>
      </c>
      <c r="K7" s="2">
        <v>0.1</v>
      </c>
      <c r="L7" t="s">
        <v>20</v>
      </c>
      <c r="M7" s="3">
        <f t="shared" si="0"/>
        <v>4500</v>
      </c>
      <c r="N7" s="3">
        <f t="shared" si="1"/>
        <v>1800</v>
      </c>
    </row>
    <row r="8" spans="1:14" x14ac:dyDescent="0.3">
      <c r="A8" t="s">
        <v>41</v>
      </c>
      <c r="B8" s="1">
        <v>45721</v>
      </c>
      <c r="C8" t="s">
        <v>42</v>
      </c>
      <c r="D8" t="s">
        <v>23</v>
      </c>
      <c r="E8" t="s">
        <v>30</v>
      </c>
      <c r="F8" t="s">
        <v>18</v>
      </c>
      <c r="G8" t="s">
        <v>19</v>
      </c>
      <c r="H8">
        <v>1</v>
      </c>
      <c r="I8" s="3">
        <v>27000</v>
      </c>
      <c r="J8" s="3">
        <v>20000</v>
      </c>
      <c r="K8" s="2">
        <v>0.05</v>
      </c>
      <c r="L8" t="s">
        <v>27</v>
      </c>
      <c r="M8" s="3">
        <f t="shared" si="0"/>
        <v>25650</v>
      </c>
      <c r="N8" s="3">
        <f t="shared" si="1"/>
        <v>6650</v>
      </c>
    </row>
    <row r="9" spans="1:14" x14ac:dyDescent="0.3">
      <c r="A9" t="s">
        <v>43</v>
      </c>
      <c r="B9" s="1">
        <v>45730</v>
      </c>
      <c r="C9" t="s">
        <v>44</v>
      </c>
      <c r="D9" t="s">
        <v>16</v>
      </c>
      <c r="E9" t="s">
        <v>24</v>
      </c>
      <c r="F9" t="s">
        <v>25</v>
      </c>
      <c r="G9" t="s">
        <v>26</v>
      </c>
      <c r="H9">
        <v>5</v>
      </c>
      <c r="I9" s="3">
        <v>750</v>
      </c>
      <c r="J9" s="3">
        <v>450</v>
      </c>
      <c r="K9" s="2">
        <v>0</v>
      </c>
      <c r="L9" t="s">
        <v>32</v>
      </c>
      <c r="M9" s="3">
        <f t="shared" si="0"/>
        <v>3750</v>
      </c>
      <c r="N9" s="3">
        <f t="shared" si="1"/>
        <v>1500</v>
      </c>
    </row>
    <row r="10" spans="1:14" x14ac:dyDescent="0.3">
      <c r="A10" t="s">
        <v>45</v>
      </c>
      <c r="B10" s="1">
        <v>45738</v>
      </c>
      <c r="C10" t="s">
        <v>46</v>
      </c>
      <c r="D10" t="s">
        <v>23</v>
      </c>
      <c r="E10" t="s">
        <v>17</v>
      </c>
      <c r="F10" t="s">
        <v>18</v>
      </c>
      <c r="G10" t="s">
        <v>31</v>
      </c>
      <c r="H10">
        <v>2</v>
      </c>
      <c r="I10" s="3">
        <v>56000</v>
      </c>
      <c r="J10" s="3">
        <v>43000</v>
      </c>
      <c r="K10" s="2">
        <v>0.1</v>
      </c>
      <c r="L10" t="s">
        <v>20</v>
      </c>
      <c r="M10" s="3">
        <f t="shared" si="0"/>
        <v>100800</v>
      </c>
      <c r="N10" s="3">
        <f t="shared" si="1"/>
        <v>23400</v>
      </c>
    </row>
    <row r="11" spans="1:14" x14ac:dyDescent="0.3">
      <c r="A11" t="s">
        <v>47</v>
      </c>
      <c r="B11" s="1">
        <v>45746</v>
      </c>
      <c r="C11" t="s">
        <v>48</v>
      </c>
      <c r="D11" t="s">
        <v>16</v>
      </c>
      <c r="E11" t="s">
        <v>35</v>
      </c>
      <c r="F11" t="s">
        <v>25</v>
      </c>
      <c r="G11" t="s">
        <v>19</v>
      </c>
      <c r="H11">
        <v>3</v>
      </c>
      <c r="I11" s="3">
        <v>1400</v>
      </c>
      <c r="J11" s="3">
        <v>850</v>
      </c>
      <c r="K11" s="2">
        <v>0.05</v>
      </c>
      <c r="L11" t="s">
        <v>27</v>
      </c>
      <c r="M11" s="3">
        <f t="shared" si="0"/>
        <v>3990</v>
      </c>
      <c r="N11" s="3">
        <f t="shared" si="1"/>
        <v>1567.5</v>
      </c>
    </row>
    <row r="12" spans="1:14" x14ac:dyDescent="0.3">
      <c r="A12" t="s">
        <v>49</v>
      </c>
      <c r="B12" s="1">
        <v>45754</v>
      </c>
      <c r="C12" t="s">
        <v>50</v>
      </c>
      <c r="D12" t="s">
        <v>16</v>
      </c>
      <c r="E12" t="s">
        <v>30</v>
      </c>
      <c r="F12" t="s">
        <v>18</v>
      </c>
      <c r="G12" t="s">
        <v>26</v>
      </c>
      <c r="H12">
        <v>1</v>
      </c>
      <c r="I12" s="3">
        <v>26000</v>
      </c>
      <c r="J12" s="3">
        <v>19500</v>
      </c>
      <c r="K12" s="2">
        <v>0</v>
      </c>
      <c r="L12" t="s">
        <v>20</v>
      </c>
      <c r="M12" s="3">
        <f t="shared" si="0"/>
        <v>26000</v>
      </c>
      <c r="N12" s="3">
        <f t="shared" si="1"/>
        <v>6500</v>
      </c>
    </row>
    <row r="13" spans="1:14" x14ac:dyDescent="0.3">
      <c r="A13" t="s">
        <v>51</v>
      </c>
      <c r="B13" s="1">
        <v>45763</v>
      </c>
      <c r="C13" t="s">
        <v>52</v>
      </c>
      <c r="D13" t="s">
        <v>23</v>
      </c>
      <c r="E13" t="s">
        <v>40</v>
      </c>
      <c r="F13" t="s">
        <v>25</v>
      </c>
      <c r="G13" t="s">
        <v>31</v>
      </c>
      <c r="H13">
        <v>4</v>
      </c>
      <c r="I13" s="3">
        <v>2200</v>
      </c>
      <c r="J13" s="3">
        <v>1300</v>
      </c>
      <c r="K13" s="2">
        <v>0.05</v>
      </c>
      <c r="L13" t="s">
        <v>32</v>
      </c>
      <c r="M13" s="3">
        <f t="shared" si="0"/>
        <v>8360</v>
      </c>
      <c r="N13" s="3">
        <f t="shared" si="1"/>
        <v>3420</v>
      </c>
    </row>
    <row r="14" spans="1:14" x14ac:dyDescent="0.3">
      <c r="A14" t="s">
        <v>53</v>
      </c>
      <c r="B14" s="1">
        <v>45771</v>
      </c>
      <c r="C14" t="s">
        <v>54</v>
      </c>
      <c r="D14" t="s">
        <v>16</v>
      </c>
      <c r="E14" t="s">
        <v>17</v>
      </c>
      <c r="F14" t="s">
        <v>18</v>
      </c>
      <c r="G14" t="s">
        <v>19</v>
      </c>
      <c r="H14">
        <v>1</v>
      </c>
      <c r="I14" s="3">
        <v>57000</v>
      </c>
      <c r="J14" s="3">
        <v>43500</v>
      </c>
      <c r="K14" s="2">
        <v>0.1</v>
      </c>
      <c r="L14" t="s">
        <v>27</v>
      </c>
      <c r="M14" s="3">
        <f t="shared" si="0"/>
        <v>51300</v>
      </c>
      <c r="N14" s="3">
        <f t="shared" si="1"/>
        <v>12150</v>
      </c>
    </row>
    <row r="15" spans="1:14" x14ac:dyDescent="0.3">
      <c r="A15" t="s">
        <v>55</v>
      </c>
      <c r="B15" s="1">
        <v>45779</v>
      </c>
      <c r="C15" t="s">
        <v>56</v>
      </c>
      <c r="D15" t="s">
        <v>23</v>
      </c>
      <c r="E15" t="s">
        <v>24</v>
      </c>
      <c r="F15" t="s">
        <v>25</v>
      </c>
      <c r="G15" t="s">
        <v>26</v>
      </c>
      <c r="H15">
        <v>6</v>
      </c>
      <c r="I15" s="3">
        <v>850</v>
      </c>
      <c r="J15" s="3">
        <v>500</v>
      </c>
      <c r="K15" s="2">
        <v>0.05</v>
      </c>
      <c r="L15" t="s">
        <v>20</v>
      </c>
      <c r="M15" s="3">
        <f t="shared" si="0"/>
        <v>4845</v>
      </c>
      <c r="N15" s="3">
        <f t="shared" si="1"/>
        <v>1995</v>
      </c>
    </row>
    <row r="16" spans="1:14" x14ac:dyDescent="0.3">
      <c r="A16" t="s">
        <v>57</v>
      </c>
      <c r="B16" s="1">
        <v>45788</v>
      </c>
      <c r="C16" t="s">
        <v>58</v>
      </c>
      <c r="D16" t="s">
        <v>16</v>
      </c>
      <c r="E16" t="s">
        <v>30</v>
      </c>
      <c r="F16" t="s">
        <v>18</v>
      </c>
      <c r="G16" t="s">
        <v>31</v>
      </c>
      <c r="H16">
        <v>2</v>
      </c>
      <c r="I16" s="3">
        <v>25500</v>
      </c>
      <c r="J16" s="3">
        <v>19000</v>
      </c>
      <c r="K16" s="2">
        <v>0</v>
      </c>
      <c r="L16" t="s">
        <v>32</v>
      </c>
      <c r="M16" s="3">
        <f t="shared" si="0"/>
        <v>51000</v>
      </c>
      <c r="N16" s="3">
        <f t="shared" si="1"/>
        <v>13000</v>
      </c>
    </row>
    <row r="17" spans="1:14" x14ac:dyDescent="0.3">
      <c r="A17" t="s">
        <v>59</v>
      </c>
      <c r="B17" s="1">
        <v>45796</v>
      </c>
      <c r="C17" t="s">
        <v>60</v>
      </c>
      <c r="D17" t="s">
        <v>23</v>
      </c>
      <c r="E17" t="s">
        <v>35</v>
      </c>
      <c r="F17" t="s">
        <v>25</v>
      </c>
      <c r="G17" t="s">
        <v>19</v>
      </c>
      <c r="H17">
        <v>4</v>
      </c>
      <c r="I17" s="3">
        <v>1600</v>
      </c>
      <c r="J17" s="3">
        <v>950</v>
      </c>
      <c r="K17" s="2">
        <v>0.1</v>
      </c>
      <c r="L17" t="s">
        <v>27</v>
      </c>
      <c r="M17" s="3">
        <f t="shared" si="0"/>
        <v>5760</v>
      </c>
      <c r="N17" s="3">
        <f t="shared" si="1"/>
        <v>2340</v>
      </c>
    </row>
    <row r="18" spans="1:14" x14ac:dyDescent="0.3">
      <c r="A18" t="s">
        <v>61</v>
      </c>
      <c r="B18" s="1">
        <v>45805</v>
      </c>
      <c r="C18" t="s">
        <v>62</v>
      </c>
      <c r="D18" t="s">
        <v>16</v>
      </c>
      <c r="E18" t="s">
        <v>17</v>
      </c>
      <c r="F18" t="s">
        <v>18</v>
      </c>
      <c r="G18" t="s">
        <v>26</v>
      </c>
      <c r="H18">
        <v>2</v>
      </c>
      <c r="I18" s="3">
        <v>59000</v>
      </c>
      <c r="J18" s="3">
        <v>45000</v>
      </c>
      <c r="K18" s="2">
        <v>0.05</v>
      </c>
      <c r="L18" t="s">
        <v>20</v>
      </c>
      <c r="M18" s="3">
        <f t="shared" si="0"/>
        <v>112100</v>
      </c>
      <c r="N18" s="3">
        <f t="shared" si="1"/>
        <v>26600</v>
      </c>
    </row>
    <row r="19" spans="1:14" x14ac:dyDescent="0.3">
      <c r="A19" t="s">
        <v>63</v>
      </c>
      <c r="B19" s="1">
        <v>45814</v>
      </c>
      <c r="C19" t="s">
        <v>64</v>
      </c>
      <c r="D19" t="s">
        <v>23</v>
      </c>
      <c r="E19" t="s">
        <v>40</v>
      </c>
      <c r="F19" t="s">
        <v>25</v>
      </c>
      <c r="G19" t="s">
        <v>31</v>
      </c>
      <c r="H19">
        <v>3</v>
      </c>
      <c r="I19" s="3">
        <v>2400</v>
      </c>
      <c r="J19" s="3">
        <v>1450</v>
      </c>
      <c r="K19" s="2">
        <v>0</v>
      </c>
      <c r="L19" t="s">
        <v>32</v>
      </c>
      <c r="M19" s="3">
        <f t="shared" si="0"/>
        <v>7200</v>
      </c>
      <c r="N19" s="3">
        <f t="shared" si="1"/>
        <v>2850</v>
      </c>
    </row>
    <row r="20" spans="1:14" x14ac:dyDescent="0.3">
      <c r="A20" t="s">
        <v>65</v>
      </c>
      <c r="B20" s="1">
        <v>45823</v>
      </c>
      <c r="C20" t="s">
        <v>66</v>
      </c>
      <c r="D20" t="s">
        <v>16</v>
      </c>
      <c r="E20" t="s">
        <v>30</v>
      </c>
      <c r="F20" t="s">
        <v>18</v>
      </c>
      <c r="G20" t="s">
        <v>19</v>
      </c>
      <c r="H20">
        <v>1</v>
      </c>
      <c r="I20" s="3">
        <v>28000</v>
      </c>
      <c r="J20" s="3">
        <v>21000</v>
      </c>
      <c r="K20" s="2">
        <v>0.1</v>
      </c>
      <c r="L20" t="s">
        <v>20</v>
      </c>
      <c r="M20" s="3">
        <f t="shared" si="0"/>
        <v>25200</v>
      </c>
      <c r="N20" s="3">
        <f t="shared" si="1"/>
        <v>6300</v>
      </c>
    </row>
    <row r="21" spans="1:14" x14ac:dyDescent="0.3">
      <c r="A21" t="s">
        <v>67</v>
      </c>
      <c r="B21" s="1">
        <v>45831</v>
      </c>
      <c r="C21" t="s">
        <v>68</v>
      </c>
      <c r="D21" t="s">
        <v>23</v>
      </c>
      <c r="E21" t="s">
        <v>24</v>
      </c>
      <c r="F21" t="s">
        <v>25</v>
      </c>
      <c r="G21" t="s">
        <v>26</v>
      </c>
      <c r="H21">
        <v>4</v>
      </c>
      <c r="I21" s="3">
        <v>900</v>
      </c>
      <c r="J21" s="3">
        <v>550</v>
      </c>
      <c r="K21" s="2">
        <v>0.05</v>
      </c>
      <c r="L21" t="s">
        <v>27</v>
      </c>
      <c r="M21" s="3">
        <f t="shared" si="0"/>
        <v>3420</v>
      </c>
      <c r="N21" s="3">
        <f t="shared" si="1"/>
        <v>1330</v>
      </c>
    </row>
    <row r="22" spans="1:14" x14ac:dyDescent="0.3">
      <c r="A22" t="s">
        <v>69</v>
      </c>
      <c r="B22" s="1">
        <v>45842</v>
      </c>
      <c r="C22" t="s">
        <v>70</v>
      </c>
      <c r="D22" t="s">
        <v>16</v>
      </c>
      <c r="E22" t="s">
        <v>17</v>
      </c>
      <c r="F22" t="s">
        <v>18</v>
      </c>
      <c r="G22" t="s">
        <v>31</v>
      </c>
      <c r="H22">
        <v>1</v>
      </c>
      <c r="I22" s="3">
        <v>60000</v>
      </c>
      <c r="J22" s="3">
        <v>46000</v>
      </c>
      <c r="K22" s="2">
        <v>0</v>
      </c>
      <c r="L22" t="s">
        <v>20</v>
      </c>
      <c r="M22" s="3">
        <f t="shared" si="0"/>
        <v>60000</v>
      </c>
      <c r="N22" s="3">
        <f t="shared" si="1"/>
        <v>14000</v>
      </c>
    </row>
    <row r="23" spans="1:14" x14ac:dyDescent="0.3">
      <c r="A23" t="s">
        <v>71</v>
      </c>
      <c r="B23" s="1">
        <v>45851</v>
      </c>
      <c r="C23" t="s">
        <v>72</v>
      </c>
      <c r="D23" t="s">
        <v>23</v>
      </c>
      <c r="E23" t="s">
        <v>35</v>
      </c>
      <c r="F23" t="s">
        <v>25</v>
      </c>
      <c r="G23" t="s">
        <v>19</v>
      </c>
      <c r="H23">
        <v>5</v>
      </c>
      <c r="I23" s="3">
        <v>1550</v>
      </c>
      <c r="J23" s="3">
        <v>900</v>
      </c>
      <c r="K23" s="2">
        <v>0.05</v>
      </c>
      <c r="L23" t="s">
        <v>32</v>
      </c>
      <c r="M23" s="3">
        <f t="shared" si="0"/>
        <v>7362.5</v>
      </c>
      <c r="N23" s="3">
        <f t="shared" si="1"/>
        <v>3087.5</v>
      </c>
    </row>
    <row r="24" spans="1:14" x14ac:dyDescent="0.3">
      <c r="A24" t="s">
        <v>73</v>
      </c>
      <c r="B24" s="1">
        <v>45859</v>
      </c>
      <c r="C24" t="s">
        <v>74</v>
      </c>
      <c r="D24" t="s">
        <v>16</v>
      </c>
      <c r="E24" t="s">
        <v>30</v>
      </c>
      <c r="F24" t="s">
        <v>18</v>
      </c>
      <c r="G24" t="s">
        <v>26</v>
      </c>
      <c r="H24">
        <v>2</v>
      </c>
      <c r="I24" s="3">
        <v>26500</v>
      </c>
      <c r="J24" s="3">
        <v>20000</v>
      </c>
      <c r="K24" s="2">
        <v>0.05</v>
      </c>
      <c r="L24" t="s">
        <v>27</v>
      </c>
      <c r="M24" s="3">
        <f t="shared" si="0"/>
        <v>50350</v>
      </c>
      <c r="N24" s="3">
        <f t="shared" si="1"/>
        <v>12350</v>
      </c>
    </row>
    <row r="25" spans="1:14" x14ac:dyDescent="0.3">
      <c r="A25" t="s">
        <v>75</v>
      </c>
      <c r="B25" s="1">
        <v>45867</v>
      </c>
      <c r="C25" t="s">
        <v>76</v>
      </c>
      <c r="D25" t="s">
        <v>23</v>
      </c>
      <c r="E25" t="s">
        <v>40</v>
      </c>
      <c r="F25" t="s">
        <v>25</v>
      </c>
      <c r="G25" t="s">
        <v>31</v>
      </c>
      <c r="H25">
        <v>2</v>
      </c>
      <c r="I25" s="3">
        <v>2300</v>
      </c>
      <c r="J25" s="3">
        <v>1400</v>
      </c>
      <c r="K25" s="2">
        <v>0.1</v>
      </c>
      <c r="L25" t="s">
        <v>20</v>
      </c>
      <c r="M25" s="3">
        <f t="shared" si="0"/>
        <v>4140</v>
      </c>
      <c r="N25" s="3">
        <f t="shared" si="1"/>
        <v>1620</v>
      </c>
    </row>
    <row r="26" spans="1:14" x14ac:dyDescent="0.3">
      <c r="A26" t="s">
        <v>77</v>
      </c>
      <c r="B26" s="1">
        <v>45877</v>
      </c>
      <c r="C26" t="s">
        <v>78</v>
      </c>
      <c r="D26" t="s">
        <v>16</v>
      </c>
      <c r="E26" t="s">
        <v>17</v>
      </c>
      <c r="F26" t="s">
        <v>18</v>
      </c>
      <c r="G26" t="s">
        <v>19</v>
      </c>
      <c r="H26">
        <v>1</v>
      </c>
      <c r="I26" s="3">
        <v>61000</v>
      </c>
      <c r="J26" s="3">
        <v>46500</v>
      </c>
      <c r="K26" s="2">
        <v>0.05</v>
      </c>
      <c r="L26" t="s">
        <v>27</v>
      </c>
      <c r="M26" s="3">
        <f t="shared" si="0"/>
        <v>57950</v>
      </c>
      <c r="N26" s="3">
        <f t="shared" si="1"/>
        <v>13775</v>
      </c>
    </row>
    <row r="27" spans="1:14" x14ac:dyDescent="0.3">
      <c r="A27" t="s">
        <v>79</v>
      </c>
      <c r="B27" s="1">
        <v>45886</v>
      </c>
      <c r="C27" t="s">
        <v>80</v>
      </c>
      <c r="D27" t="s">
        <v>23</v>
      </c>
      <c r="E27" t="s">
        <v>24</v>
      </c>
      <c r="F27" t="s">
        <v>25</v>
      </c>
      <c r="G27" t="s">
        <v>26</v>
      </c>
      <c r="H27">
        <v>7</v>
      </c>
      <c r="I27" s="3">
        <v>850</v>
      </c>
      <c r="J27" s="3">
        <v>500</v>
      </c>
      <c r="K27" s="2">
        <v>0</v>
      </c>
      <c r="L27" t="s">
        <v>32</v>
      </c>
      <c r="M27" s="3">
        <f t="shared" si="0"/>
        <v>5950</v>
      </c>
      <c r="N27" s="3">
        <f t="shared" si="1"/>
        <v>2450</v>
      </c>
    </row>
    <row r="28" spans="1:14" x14ac:dyDescent="0.3">
      <c r="A28" t="s">
        <v>81</v>
      </c>
      <c r="B28" s="1">
        <v>45895</v>
      </c>
      <c r="C28" t="s">
        <v>82</v>
      </c>
      <c r="D28" t="s">
        <v>16</v>
      </c>
      <c r="E28" t="s">
        <v>30</v>
      </c>
      <c r="F28" t="s">
        <v>18</v>
      </c>
      <c r="G28" t="s">
        <v>31</v>
      </c>
      <c r="H28">
        <v>1</v>
      </c>
      <c r="I28" s="3">
        <v>27500</v>
      </c>
      <c r="J28" s="3">
        <v>20500</v>
      </c>
      <c r="K28" s="2">
        <v>0.1</v>
      </c>
      <c r="L28" t="s">
        <v>20</v>
      </c>
      <c r="M28" s="3">
        <f t="shared" si="0"/>
        <v>24750</v>
      </c>
      <c r="N28" s="3">
        <f t="shared" si="1"/>
        <v>6300</v>
      </c>
    </row>
    <row r="29" spans="1:14" x14ac:dyDescent="0.3">
      <c r="A29" t="s">
        <v>83</v>
      </c>
      <c r="B29" s="1">
        <v>45905</v>
      </c>
      <c r="C29" t="s">
        <v>84</v>
      </c>
      <c r="D29" t="s">
        <v>23</v>
      </c>
      <c r="E29" t="s">
        <v>35</v>
      </c>
      <c r="F29" t="s">
        <v>25</v>
      </c>
      <c r="G29" t="s">
        <v>19</v>
      </c>
      <c r="H29">
        <v>3</v>
      </c>
      <c r="I29" s="3">
        <v>1650</v>
      </c>
      <c r="J29" s="3">
        <v>950</v>
      </c>
      <c r="K29" s="2">
        <v>0.05</v>
      </c>
      <c r="L29" t="s">
        <v>27</v>
      </c>
      <c r="M29" s="3">
        <f t="shared" si="0"/>
        <v>4702.5</v>
      </c>
      <c r="N29" s="3">
        <f t="shared" si="1"/>
        <v>1995</v>
      </c>
    </row>
    <row r="30" spans="1:14" x14ac:dyDescent="0.3">
      <c r="A30" t="s">
        <v>85</v>
      </c>
      <c r="B30" s="1">
        <v>45915</v>
      </c>
      <c r="C30" t="s">
        <v>86</v>
      </c>
      <c r="D30" t="s">
        <v>16</v>
      </c>
      <c r="E30" t="s">
        <v>17</v>
      </c>
      <c r="F30" t="s">
        <v>18</v>
      </c>
      <c r="G30" t="s">
        <v>26</v>
      </c>
      <c r="H30">
        <v>2</v>
      </c>
      <c r="I30" s="3">
        <v>62000</v>
      </c>
      <c r="J30" s="3">
        <v>47000</v>
      </c>
      <c r="K30" s="2">
        <v>0</v>
      </c>
      <c r="L30" t="s">
        <v>20</v>
      </c>
      <c r="M30" s="3">
        <f>H30*I30*(1-K30)</f>
        <v>124000</v>
      </c>
      <c r="N30" s="3">
        <f>(I30-J30)*H30*(1-K30)</f>
        <v>30000</v>
      </c>
    </row>
    <row r="31" spans="1:14" x14ac:dyDescent="0.3">
      <c r="A31" t="s">
        <v>87</v>
      </c>
      <c r="B31" s="1">
        <v>45925</v>
      </c>
      <c r="C31" t="s">
        <v>88</v>
      </c>
      <c r="D31" t="s">
        <v>23</v>
      </c>
      <c r="E31" t="s">
        <v>40</v>
      </c>
      <c r="F31" t="s">
        <v>25</v>
      </c>
      <c r="G31" t="s">
        <v>31</v>
      </c>
      <c r="H31">
        <v>5</v>
      </c>
      <c r="I31" s="3">
        <v>2500</v>
      </c>
      <c r="J31" s="3">
        <v>1500</v>
      </c>
      <c r="K31" s="2">
        <v>0.05</v>
      </c>
      <c r="L31" t="s">
        <v>32</v>
      </c>
      <c r="M31" s="3">
        <f t="shared" ref="M31" si="2">H31*I31*(1-K31)</f>
        <v>11875</v>
      </c>
      <c r="N31" s="3">
        <f t="shared" ref="N31" si="3">(I31-J31)*H31*(1-K31)</f>
        <v>4750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workbookViewId="0">
      <selection activeCell="A35" sqref="A35"/>
    </sheetView>
  </sheetViews>
  <sheetFormatPr defaultRowHeight="14.4" x14ac:dyDescent="0.3"/>
  <cols>
    <col min="1" max="1" width="10.44140625" customWidth="1"/>
    <col min="2" max="2" width="12.5546875" style="1" customWidth="1"/>
    <col min="3" max="3" width="16.109375" customWidth="1"/>
    <col min="4" max="4" width="16.77734375" customWidth="1"/>
    <col min="5" max="5" width="9.5546875" customWidth="1"/>
    <col min="6" max="6" width="10.44140625" customWidth="1"/>
    <col min="8" max="8" width="10.21875" customWidth="1"/>
    <col min="9" max="9" width="15.5546875" customWidth="1"/>
    <col min="10" max="10" width="12.21875" customWidth="1"/>
    <col min="11" max="11" width="10.21875" customWidth="1"/>
    <col min="12" max="12" width="16.44140625" customWidth="1"/>
    <col min="13" max="13" width="13.5546875" customWidth="1"/>
    <col min="14" max="14" width="15.88671875" customWidth="1"/>
  </cols>
  <sheetData>
    <row r="1" spans="1:14" x14ac:dyDescent="0.3">
      <c r="A1" t="s">
        <v>0</v>
      </c>
      <c r="B1" s="1" t="s">
        <v>1</v>
      </c>
      <c r="C1" t="s">
        <v>101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45662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 s="3">
        <v>55000</v>
      </c>
      <c r="J2" s="3">
        <v>42000</v>
      </c>
      <c r="K2" s="2">
        <v>0.05</v>
      </c>
      <c r="L2" t="s">
        <v>20</v>
      </c>
      <c r="M2" s="3">
        <f>H2*I2*(1-K2)</f>
        <v>52250</v>
      </c>
      <c r="N2" s="3">
        <f>(I2-J2)*H2*(1-K2)</f>
        <v>12350</v>
      </c>
    </row>
    <row r="3" spans="1:14" x14ac:dyDescent="0.3">
      <c r="A3" t="s">
        <v>21</v>
      </c>
      <c r="B3" s="1">
        <v>45669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3</v>
      </c>
      <c r="I3" s="3">
        <v>800</v>
      </c>
      <c r="J3" s="3">
        <v>500</v>
      </c>
      <c r="K3" s="2">
        <v>0</v>
      </c>
      <c r="L3" t="s">
        <v>27</v>
      </c>
      <c r="M3" s="3">
        <f t="shared" ref="M3:M29" si="0">H3*I3*(1-K3)</f>
        <v>2400</v>
      </c>
      <c r="N3" s="3">
        <f t="shared" ref="N3:N29" si="1">(I3-J3)*H3*(1-K3)</f>
        <v>900</v>
      </c>
    </row>
    <row r="4" spans="1:14" x14ac:dyDescent="0.3">
      <c r="A4" t="s">
        <v>28</v>
      </c>
      <c r="B4" s="1">
        <v>45677</v>
      </c>
      <c r="C4" t="s">
        <v>29</v>
      </c>
      <c r="D4" t="s">
        <v>16</v>
      </c>
      <c r="E4" t="s">
        <v>30</v>
      </c>
      <c r="F4" t="s">
        <v>18</v>
      </c>
      <c r="G4" t="s">
        <v>31</v>
      </c>
      <c r="H4">
        <v>2</v>
      </c>
      <c r="I4" s="3">
        <v>25000</v>
      </c>
      <c r="J4" s="3">
        <v>19000</v>
      </c>
      <c r="K4" s="2">
        <v>0.1</v>
      </c>
      <c r="L4" t="s">
        <v>32</v>
      </c>
      <c r="M4" s="3">
        <f t="shared" si="0"/>
        <v>45000</v>
      </c>
      <c r="N4" s="3">
        <f t="shared" si="1"/>
        <v>10800</v>
      </c>
    </row>
    <row r="5" spans="1:14" x14ac:dyDescent="0.3">
      <c r="A5" t="s">
        <v>33</v>
      </c>
      <c r="B5" s="1">
        <v>45691</v>
      </c>
      <c r="C5" t="s">
        <v>34</v>
      </c>
      <c r="D5" t="s">
        <v>16</v>
      </c>
      <c r="E5" t="s">
        <v>35</v>
      </c>
      <c r="F5" t="s">
        <v>25</v>
      </c>
      <c r="G5" t="s">
        <v>19</v>
      </c>
      <c r="H5">
        <v>2</v>
      </c>
      <c r="I5" s="3">
        <v>1500</v>
      </c>
      <c r="J5" s="3">
        <v>900</v>
      </c>
      <c r="K5" s="2">
        <v>0.05</v>
      </c>
      <c r="L5" t="s">
        <v>20</v>
      </c>
      <c r="M5" s="3">
        <f t="shared" si="0"/>
        <v>2850</v>
      </c>
      <c r="N5" s="3">
        <f t="shared" si="1"/>
        <v>1140</v>
      </c>
    </row>
    <row r="6" spans="1:14" x14ac:dyDescent="0.3">
      <c r="A6" t="s">
        <v>36</v>
      </c>
      <c r="B6" s="1">
        <v>45703</v>
      </c>
      <c r="C6" t="s">
        <v>37</v>
      </c>
      <c r="D6" t="s">
        <v>23</v>
      </c>
      <c r="E6" t="s">
        <v>17</v>
      </c>
      <c r="F6" t="s">
        <v>18</v>
      </c>
      <c r="G6" t="s">
        <v>26</v>
      </c>
      <c r="H6">
        <v>1</v>
      </c>
      <c r="I6" s="3">
        <v>58000</v>
      </c>
      <c r="J6" s="3">
        <v>44000</v>
      </c>
      <c r="K6" s="2">
        <v>0</v>
      </c>
      <c r="L6" t="s">
        <v>27</v>
      </c>
      <c r="M6" s="3">
        <f t="shared" si="0"/>
        <v>58000</v>
      </c>
      <c r="N6" s="3">
        <f t="shared" si="1"/>
        <v>14000</v>
      </c>
    </row>
    <row r="7" spans="1:14" x14ac:dyDescent="0.3">
      <c r="A7" t="s">
        <v>38</v>
      </c>
      <c r="B7" s="1">
        <v>45713</v>
      </c>
      <c r="C7" t="s">
        <v>39</v>
      </c>
      <c r="D7" t="s">
        <v>16</v>
      </c>
      <c r="E7" t="s">
        <v>40</v>
      </c>
      <c r="F7" t="s">
        <v>25</v>
      </c>
      <c r="G7" t="s">
        <v>31</v>
      </c>
      <c r="H7">
        <v>2</v>
      </c>
      <c r="I7" s="3">
        <v>2500</v>
      </c>
      <c r="J7" s="3">
        <v>1500</v>
      </c>
      <c r="K7" s="2">
        <v>0.1</v>
      </c>
      <c r="L7" t="s">
        <v>20</v>
      </c>
      <c r="M7" s="3">
        <f t="shared" si="0"/>
        <v>4500</v>
      </c>
      <c r="N7" s="3">
        <f t="shared" si="1"/>
        <v>1800</v>
      </c>
    </row>
    <row r="8" spans="1:14" x14ac:dyDescent="0.3">
      <c r="A8" t="s">
        <v>41</v>
      </c>
      <c r="B8" s="1">
        <v>45721</v>
      </c>
      <c r="C8" t="s">
        <v>42</v>
      </c>
      <c r="D8" t="s">
        <v>23</v>
      </c>
      <c r="E8" t="s">
        <v>30</v>
      </c>
      <c r="F8" t="s">
        <v>18</v>
      </c>
      <c r="G8" t="s">
        <v>19</v>
      </c>
      <c r="H8">
        <v>1</v>
      </c>
      <c r="I8" s="3">
        <v>27000</v>
      </c>
      <c r="J8" s="3">
        <v>20000</v>
      </c>
      <c r="K8" s="2">
        <v>0.05</v>
      </c>
      <c r="L8" t="s">
        <v>27</v>
      </c>
      <c r="M8" s="3">
        <f t="shared" si="0"/>
        <v>25650</v>
      </c>
      <c r="N8" s="3">
        <f t="shared" si="1"/>
        <v>6650</v>
      </c>
    </row>
    <row r="9" spans="1:14" x14ac:dyDescent="0.3">
      <c r="A9" t="s">
        <v>43</v>
      </c>
      <c r="B9" s="1">
        <v>45730</v>
      </c>
      <c r="C9" t="s">
        <v>44</v>
      </c>
      <c r="D9" t="s">
        <v>16</v>
      </c>
      <c r="E9" t="s">
        <v>24</v>
      </c>
      <c r="F9" t="s">
        <v>25</v>
      </c>
      <c r="G9" t="s">
        <v>26</v>
      </c>
      <c r="H9">
        <v>5</v>
      </c>
      <c r="I9" s="3">
        <v>750</v>
      </c>
      <c r="J9" s="3">
        <v>450</v>
      </c>
      <c r="K9" s="2">
        <v>0</v>
      </c>
      <c r="L9" t="s">
        <v>32</v>
      </c>
      <c r="M9" s="3">
        <f t="shared" si="0"/>
        <v>3750</v>
      </c>
      <c r="N9" s="3">
        <f t="shared" si="1"/>
        <v>1500</v>
      </c>
    </row>
    <row r="10" spans="1:14" x14ac:dyDescent="0.3">
      <c r="A10" t="s">
        <v>45</v>
      </c>
      <c r="B10" s="1">
        <v>45738</v>
      </c>
      <c r="C10" t="s">
        <v>46</v>
      </c>
      <c r="D10" t="s">
        <v>23</v>
      </c>
      <c r="E10" t="s">
        <v>17</v>
      </c>
      <c r="F10" t="s">
        <v>18</v>
      </c>
      <c r="G10" t="s">
        <v>31</v>
      </c>
      <c r="H10">
        <v>2</v>
      </c>
      <c r="I10" s="3">
        <v>56000</v>
      </c>
      <c r="J10" s="3">
        <v>43000</v>
      </c>
      <c r="K10" s="2">
        <v>0.1</v>
      </c>
      <c r="L10" t="s">
        <v>20</v>
      </c>
      <c r="M10" s="3">
        <f t="shared" si="0"/>
        <v>100800</v>
      </c>
      <c r="N10" s="3">
        <f t="shared" si="1"/>
        <v>23400</v>
      </c>
    </row>
    <row r="11" spans="1:14" x14ac:dyDescent="0.3">
      <c r="A11" t="s">
        <v>47</v>
      </c>
      <c r="B11" s="1">
        <v>45746</v>
      </c>
      <c r="C11" t="s">
        <v>48</v>
      </c>
      <c r="D11" t="s">
        <v>16</v>
      </c>
      <c r="E11" t="s">
        <v>35</v>
      </c>
      <c r="F11" t="s">
        <v>25</v>
      </c>
      <c r="G11" t="s">
        <v>19</v>
      </c>
      <c r="H11">
        <v>3</v>
      </c>
      <c r="I11" s="3">
        <v>1400</v>
      </c>
      <c r="J11" s="3">
        <v>850</v>
      </c>
      <c r="K11" s="2">
        <v>0.05</v>
      </c>
      <c r="L11" t="s">
        <v>27</v>
      </c>
      <c r="M11" s="3">
        <f t="shared" si="0"/>
        <v>3990</v>
      </c>
      <c r="N11" s="3">
        <f t="shared" si="1"/>
        <v>1567.5</v>
      </c>
    </row>
    <row r="12" spans="1:14" x14ac:dyDescent="0.3">
      <c r="A12" t="s">
        <v>49</v>
      </c>
      <c r="B12" s="1">
        <v>45754</v>
      </c>
      <c r="C12" t="s">
        <v>50</v>
      </c>
      <c r="D12" t="s">
        <v>16</v>
      </c>
      <c r="E12" t="s">
        <v>30</v>
      </c>
      <c r="F12" t="s">
        <v>18</v>
      </c>
      <c r="G12" t="s">
        <v>26</v>
      </c>
      <c r="H12">
        <v>1</v>
      </c>
      <c r="I12" s="3">
        <v>26000</v>
      </c>
      <c r="J12" s="3">
        <v>19500</v>
      </c>
      <c r="K12" s="2">
        <v>0</v>
      </c>
      <c r="L12" t="s">
        <v>20</v>
      </c>
      <c r="M12" s="3">
        <f t="shared" si="0"/>
        <v>26000</v>
      </c>
      <c r="N12" s="3">
        <f t="shared" si="1"/>
        <v>6500</v>
      </c>
    </row>
    <row r="13" spans="1:14" x14ac:dyDescent="0.3">
      <c r="A13" t="s">
        <v>51</v>
      </c>
      <c r="B13" s="1">
        <v>45763</v>
      </c>
      <c r="C13" t="s">
        <v>52</v>
      </c>
      <c r="D13" t="s">
        <v>23</v>
      </c>
      <c r="E13" t="s">
        <v>40</v>
      </c>
      <c r="F13" t="s">
        <v>25</v>
      </c>
      <c r="G13" t="s">
        <v>31</v>
      </c>
      <c r="H13">
        <v>4</v>
      </c>
      <c r="I13" s="3">
        <v>2200</v>
      </c>
      <c r="J13" s="3">
        <v>1300</v>
      </c>
      <c r="K13" s="2">
        <v>0.05</v>
      </c>
      <c r="L13" t="s">
        <v>32</v>
      </c>
      <c r="M13" s="3">
        <f t="shared" si="0"/>
        <v>8360</v>
      </c>
      <c r="N13" s="3">
        <f t="shared" si="1"/>
        <v>3420</v>
      </c>
    </row>
    <row r="14" spans="1:14" x14ac:dyDescent="0.3">
      <c r="A14" t="s">
        <v>53</v>
      </c>
      <c r="B14" s="1">
        <v>45771</v>
      </c>
      <c r="C14" t="s">
        <v>54</v>
      </c>
      <c r="D14" t="s">
        <v>16</v>
      </c>
      <c r="E14" t="s">
        <v>17</v>
      </c>
      <c r="F14" t="s">
        <v>18</v>
      </c>
      <c r="G14" t="s">
        <v>19</v>
      </c>
      <c r="H14">
        <v>1</v>
      </c>
      <c r="I14" s="3">
        <v>57000</v>
      </c>
      <c r="J14" s="3">
        <v>43500</v>
      </c>
      <c r="K14" s="2">
        <v>0.1</v>
      </c>
      <c r="L14" t="s">
        <v>27</v>
      </c>
      <c r="M14" s="3">
        <f t="shared" si="0"/>
        <v>51300</v>
      </c>
      <c r="N14" s="3">
        <f t="shared" si="1"/>
        <v>12150</v>
      </c>
    </row>
    <row r="15" spans="1:14" x14ac:dyDescent="0.3">
      <c r="A15" t="s">
        <v>55</v>
      </c>
      <c r="B15" s="1">
        <v>45779</v>
      </c>
      <c r="C15" t="s">
        <v>56</v>
      </c>
      <c r="D15" t="s">
        <v>23</v>
      </c>
      <c r="E15" t="s">
        <v>24</v>
      </c>
      <c r="F15" t="s">
        <v>25</v>
      </c>
      <c r="G15" t="s">
        <v>26</v>
      </c>
      <c r="H15">
        <v>6</v>
      </c>
      <c r="I15" s="3">
        <v>850</v>
      </c>
      <c r="J15" s="3">
        <v>500</v>
      </c>
      <c r="K15" s="2">
        <v>0.05</v>
      </c>
      <c r="L15" t="s">
        <v>20</v>
      </c>
      <c r="M15" s="3">
        <f t="shared" si="0"/>
        <v>4845</v>
      </c>
      <c r="N15" s="3">
        <f t="shared" si="1"/>
        <v>1995</v>
      </c>
    </row>
    <row r="16" spans="1:14" x14ac:dyDescent="0.3">
      <c r="A16" t="s">
        <v>57</v>
      </c>
      <c r="B16" s="1">
        <v>45788</v>
      </c>
      <c r="C16" t="s">
        <v>58</v>
      </c>
      <c r="D16" t="s">
        <v>16</v>
      </c>
      <c r="E16" t="s">
        <v>30</v>
      </c>
      <c r="F16" t="s">
        <v>18</v>
      </c>
      <c r="G16" t="s">
        <v>31</v>
      </c>
      <c r="H16">
        <v>2</v>
      </c>
      <c r="I16" s="3">
        <v>25500</v>
      </c>
      <c r="J16" s="3">
        <v>19000</v>
      </c>
      <c r="K16" s="2">
        <v>0</v>
      </c>
      <c r="L16" t="s">
        <v>32</v>
      </c>
      <c r="M16" s="3">
        <f t="shared" si="0"/>
        <v>51000</v>
      </c>
      <c r="N16" s="3">
        <f t="shared" si="1"/>
        <v>13000</v>
      </c>
    </row>
    <row r="17" spans="1:14" x14ac:dyDescent="0.3">
      <c r="A17" t="s">
        <v>59</v>
      </c>
      <c r="B17" s="1">
        <v>45796</v>
      </c>
      <c r="C17" t="s">
        <v>60</v>
      </c>
      <c r="D17" t="s">
        <v>23</v>
      </c>
      <c r="E17" t="s">
        <v>35</v>
      </c>
      <c r="F17" t="s">
        <v>25</v>
      </c>
      <c r="G17" t="s">
        <v>19</v>
      </c>
      <c r="H17">
        <v>4</v>
      </c>
      <c r="I17" s="3">
        <v>1600</v>
      </c>
      <c r="J17" s="3">
        <v>950</v>
      </c>
      <c r="K17" s="2">
        <v>0.1</v>
      </c>
      <c r="L17" t="s">
        <v>27</v>
      </c>
      <c r="M17" s="3">
        <f t="shared" si="0"/>
        <v>5760</v>
      </c>
      <c r="N17" s="3">
        <f t="shared" si="1"/>
        <v>2340</v>
      </c>
    </row>
    <row r="18" spans="1:14" x14ac:dyDescent="0.3">
      <c r="A18" t="s">
        <v>61</v>
      </c>
      <c r="B18" s="1">
        <v>45805</v>
      </c>
      <c r="C18" t="s">
        <v>62</v>
      </c>
      <c r="D18" t="s">
        <v>16</v>
      </c>
      <c r="E18" t="s">
        <v>17</v>
      </c>
      <c r="F18" t="s">
        <v>18</v>
      </c>
      <c r="G18" t="s">
        <v>26</v>
      </c>
      <c r="H18">
        <v>2</v>
      </c>
      <c r="I18" s="3">
        <v>59000</v>
      </c>
      <c r="J18" s="3">
        <v>45000</v>
      </c>
      <c r="K18" s="2">
        <v>0.05</v>
      </c>
      <c r="L18" t="s">
        <v>20</v>
      </c>
      <c r="M18" s="3">
        <f t="shared" si="0"/>
        <v>112100</v>
      </c>
      <c r="N18" s="3">
        <f t="shared" si="1"/>
        <v>26600</v>
      </c>
    </row>
    <row r="19" spans="1:14" x14ac:dyDescent="0.3">
      <c r="A19" t="s">
        <v>63</v>
      </c>
      <c r="B19" s="1">
        <v>45814</v>
      </c>
      <c r="C19" t="s">
        <v>64</v>
      </c>
      <c r="D19" t="s">
        <v>23</v>
      </c>
      <c r="E19" t="s">
        <v>40</v>
      </c>
      <c r="F19" t="s">
        <v>25</v>
      </c>
      <c r="G19" t="s">
        <v>31</v>
      </c>
      <c r="H19">
        <v>3</v>
      </c>
      <c r="I19" s="3">
        <v>2400</v>
      </c>
      <c r="J19" s="3">
        <v>1450</v>
      </c>
      <c r="K19" s="2">
        <v>0</v>
      </c>
      <c r="L19" t="s">
        <v>32</v>
      </c>
      <c r="M19" s="3">
        <f t="shared" si="0"/>
        <v>7200</v>
      </c>
      <c r="N19" s="3">
        <f t="shared" si="1"/>
        <v>2850</v>
      </c>
    </row>
    <row r="20" spans="1:14" x14ac:dyDescent="0.3">
      <c r="A20" t="s">
        <v>65</v>
      </c>
      <c r="B20" s="1">
        <v>45823</v>
      </c>
      <c r="C20" t="s">
        <v>66</v>
      </c>
      <c r="D20" t="s">
        <v>16</v>
      </c>
      <c r="E20" t="s">
        <v>30</v>
      </c>
      <c r="F20" t="s">
        <v>18</v>
      </c>
      <c r="G20" t="s">
        <v>19</v>
      </c>
      <c r="H20">
        <v>1</v>
      </c>
      <c r="I20" s="3">
        <v>28000</v>
      </c>
      <c r="J20" s="3">
        <v>21000</v>
      </c>
      <c r="K20" s="2">
        <v>0.1</v>
      </c>
      <c r="L20" t="s">
        <v>20</v>
      </c>
      <c r="M20" s="3">
        <f t="shared" si="0"/>
        <v>25200</v>
      </c>
      <c r="N20" s="3">
        <f t="shared" si="1"/>
        <v>6300</v>
      </c>
    </row>
    <row r="21" spans="1:14" x14ac:dyDescent="0.3">
      <c r="A21" t="s">
        <v>67</v>
      </c>
      <c r="B21" s="1">
        <v>45831</v>
      </c>
      <c r="C21" t="s">
        <v>68</v>
      </c>
      <c r="D21" t="s">
        <v>23</v>
      </c>
      <c r="E21" t="s">
        <v>24</v>
      </c>
      <c r="F21" t="s">
        <v>25</v>
      </c>
      <c r="G21" t="s">
        <v>26</v>
      </c>
      <c r="H21">
        <v>4</v>
      </c>
      <c r="I21" s="3">
        <v>900</v>
      </c>
      <c r="J21" s="3">
        <v>550</v>
      </c>
      <c r="K21" s="2">
        <v>0.05</v>
      </c>
      <c r="L21" t="s">
        <v>27</v>
      </c>
      <c r="M21" s="3">
        <f t="shared" si="0"/>
        <v>3420</v>
      </c>
      <c r="N21" s="3">
        <f t="shared" si="1"/>
        <v>1330</v>
      </c>
    </row>
    <row r="22" spans="1:14" x14ac:dyDescent="0.3">
      <c r="A22" t="s">
        <v>69</v>
      </c>
      <c r="B22" s="1">
        <v>45842</v>
      </c>
      <c r="C22" t="s">
        <v>70</v>
      </c>
      <c r="D22" t="s">
        <v>16</v>
      </c>
      <c r="E22" t="s">
        <v>17</v>
      </c>
      <c r="F22" t="s">
        <v>18</v>
      </c>
      <c r="G22" t="s">
        <v>31</v>
      </c>
      <c r="H22">
        <v>1</v>
      </c>
      <c r="I22" s="3">
        <v>60000</v>
      </c>
      <c r="J22" s="3">
        <v>46000</v>
      </c>
      <c r="K22" s="2">
        <v>0</v>
      </c>
      <c r="L22" t="s">
        <v>20</v>
      </c>
      <c r="M22" s="3">
        <f t="shared" si="0"/>
        <v>60000</v>
      </c>
      <c r="N22" s="3">
        <f t="shared" si="1"/>
        <v>14000</v>
      </c>
    </row>
    <row r="23" spans="1:14" x14ac:dyDescent="0.3">
      <c r="A23" t="s">
        <v>71</v>
      </c>
      <c r="B23" s="1">
        <v>45851</v>
      </c>
      <c r="C23" t="s">
        <v>72</v>
      </c>
      <c r="D23" t="s">
        <v>23</v>
      </c>
      <c r="E23" t="s">
        <v>35</v>
      </c>
      <c r="F23" t="s">
        <v>25</v>
      </c>
      <c r="G23" t="s">
        <v>19</v>
      </c>
      <c r="H23">
        <v>5</v>
      </c>
      <c r="I23" s="3">
        <v>1550</v>
      </c>
      <c r="J23" s="3">
        <v>900</v>
      </c>
      <c r="K23" s="2">
        <v>0.05</v>
      </c>
      <c r="L23" t="s">
        <v>32</v>
      </c>
      <c r="M23" s="3">
        <f t="shared" si="0"/>
        <v>7362.5</v>
      </c>
      <c r="N23" s="3">
        <f t="shared" si="1"/>
        <v>3087.5</v>
      </c>
    </row>
    <row r="24" spans="1:14" x14ac:dyDescent="0.3">
      <c r="A24" t="s">
        <v>73</v>
      </c>
      <c r="B24" s="1">
        <v>45859</v>
      </c>
      <c r="C24" t="s">
        <v>74</v>
      </c>
      <c r="D24" t="s">
        <v>16</v>
      </c>
      <c r="E24" t="s">
        <v>30</v>
      </c>
      <c r="F24" t="s">
        <v>18</v>
      </c>
      <c r="G24" t="s">
        <v>26</v>
      </c>
      <c r="H24">
        <v>2</v>
      </c>
      <c r="I24" s="3">
        <v>26500</v>
      </c>
      <c r="J24" s="3">
        <v>20000</v>
      </c>
      <c r="K24" s="2">
        <v>0.05</v>
      </c>
      <c r="L24" t="s">
        <v>27</v>
      </c>
      <c r="M24" s="3">
        <f t="shared" si="0"/>
        <v>50350</v>
      </c>
      <c r="N24" s="3">
        <f t="shared" si="1"/>
        <v>12350</v>
      </c>
    </row>
    <row r="25" spans="1:14" x14ac:dyDescent="0.3">
      <c r="A25" t="s">
        <v>75</v>
      </c>
      <c r="B25" s="1">
        <v>45867</v>
      </c>
      <c r="C25" t="s">
        <v>76</v>
      </c>
      <c r="D25" t="s">
        <v>23</v>
      </c>
      <c r="E25" t="s">
        <v>40</v>
      </c>
      <c r="F25" t="s">
        <v>25</v>
      </c>
      <c r="G25" t="s">
        <v>31</v>
      </c>
      <c r="H25">
        <v>2</v>
      </c>
      <c r="I25" s="3">
        <v>2300</v>
      </c>
      <c r="J25" s="3">
        <v>1400</v>
      </c>
      <c r="K25" s="2">
        <v>0.1</v>
      </c>
      <c r="L25" t="s">
        <v>20</v>
      </c>
      <c r="M25" s="3">
        <f t="shared" si="0"/>
        <v>4140</v>
      </c>
      <c r="N25" s="3">
        <f t="shared" si="1"/>
        <v>1620</v>
      </c>
    </row>
    <row r="26" spans="1:14" x14ac:dyDescent="0.3">
      <c r="A26" t="s">
        <v>77</v>
      </c>
      <c r="B26" s="1">
        <v>45877</v>
      </c>
      <c r="C26" t="s">
        <v>78</v>
      </c>
      <c r="D26" t="s">
        <v>16</v>
      </c>
      <c r="E26" t="s">
        <v>17</v>
      </c>
      <c r="F26" t="s">
        <v>18</v>
      </c>
      <c r="G26" t="s">
        <v>19</v>
      </c>
      <c r="H26">
        <v>1</v>
      </c>
      <c r="I26" s="3">
        <v>61000</v>
      </c>
      <c r="J26" s="3">
        <v>46500</v>
      </c>
      <c r="K26" s="2">
        <v>0.05</v>
      </c>
      <c r="L26" t="s">
        <v>27</v>
      </c>
      <c r="M26" s="3">
        <f t="shared" si="0"/>
        <v>57950</v>
      </c>
      <c r="N26" s="3">
        <f t="shared" si="1"/>
        <v>13775</v>
      </c>
    </row>
    <row r="27" spans="1:14" x14ac:dyDescent="0.3">
      <c r="A27" t="s">
        <v>79</v>
      </c>
      <c r="B27" s="1">
        <v>45886</v>
      </c>
      <c r="C27" t="s">
        <v>80</v>
      </c>
      <c r="D27" t="s">
        <v>23</v>
      </c>
      <c r="E27" t="s">
        <v>24</v>
      </c>
      <c r="F27" t="s">
        <v>25</v>
      </c>
      <c r="G27" t="s">
        <v>26</v>
      </c>
      <c r="H27">
        <v>7</v>
      </c>
      <c r="I27" s="3">
        <v>850</v>
      </c>
      <c r="J27" s="3">
        <v>500</v>
      </c>
      <c r="K27" s="2">
        <v>0</v>
      </c>
      <c r="L27" t="s">
        <v>32</v>
      </c>
      <c r="M27" s="3">
        <f t="shared" si="0"/>
        <v>5950</v>
      </c>
      <c r="N27" s="3">
        <f t="shared" si="1"/>
        <v>2450</v>
      </c>
    </row>
    <row r="28" spans="1:14" x14ac:dyDescent="0.3">
      <c r="A28" t="s">
        <v>81</v>
      </c>
      <c r="B28" s="1">
        <v>45895</v>
      </c>
      <c r="C28" t="s">
        <v>82</v>
      </c>
      <c r="D28" t="s">
        <v>16</v>
      </c>
      <c r="E28" t="s">
        <v>30</v>
      </c>
      <c r="F28" t="s">
        <v>18</v>
      </c>
      <c r="G28" t="s">
        <v>31</v>
      </c>
      <c r="H28">
        <v>1</v>
      </c>
      <c r="I28" s="3">
        <v>27500</v>
      </c>
      <c r="J28" s="3">
        <v>20500</v>
      </c>
      <c r="K28" s="2">
        <v>0.1</v>
      </c>
      <c r="L28" t="s">
        <v>20</v>
      </c>
      <c r="M28" s="3">
        <f t="shared" si="0"/>
        <v>24750</v>
      </c>
      <c r="N28" s="3">
        <f t="shared" si="1"/>
        <v>6300</v>
      </c>
    </row>
    <row r="29" spans="1:14" x14ac:dyDescent="0.3">
      <c r="A29" t="s">
        <v>83</v>
      </c>
      <c r="B29" s="1">
        <v>45905</v>
      </c>
      <c r="C29" t="s">
        <v>84</v>
      </c>
      <c r="D29" t="s">
        <v>23</v>
      </c>
      <c r="E29" t="s">
        <v>35</v>
      </c>
      <c r="F29" t="s">
        <v>25</v>
      </c>
      <c r="G29" t="s">
        <v>19</v>
      </c>
      <c r="H29">
        <v>3</v>
      </c>
      <c r="I29" s="3">
        <v>1650</v>
      </c>
      <c r="J29" s="3">
        <v>950</v>
      </c>
      <c r="K29" s="2">
        <v>0.05</v>
      </c>
      <c r="L29" t="s">
        <v>27</v>
      </c>
      <c r="M29" s="3">
        <f t="shared" si="0"/>
        <v>4702.5</v>
      </c>
      <c r="N29" s="3">
        <f t="shared" si="1"/>
        <v>1995</v>
      </c>
    </row>
    <row r="30" spans="1:14" x14ac:dyDescent="0.3">
      <c r="A30" t="s">
        <v>85</v>
      </c>
      <c r="B30" s="1">
        <v>45915</v>
      </c>
      <c r="C30" t="s">
        <v>86</v>
      </c>
      <c r="D30" t="s">
        <v>16</v>
      </c>
      <c r="E30" t="s">
        <v>17</v>
      </c>
      <c r="F30" t="s">
        <v>18</v>
      </c>
      <c r="G30" t="s">
        <v>26</v>
      </c>
      <c r="H30">
        <v>2</v>
      </c>
      <c r="I30" s="3">
        <v>62000</v>
      </c>
      <c r="J30" s="3">
        <v>47000</v>
      </c>
      <c r="K30" s="2">
        <v>0</v>
      </c>
      <c r="L30" t="s">
        <v>20</v>
      </c>
      <c r="M30" s="3">
        <f>H30*I30*(1-K30)</f>
        <v>124000</v>
      </c>
      <c r="N30" s="3">
        <f>(I30-J30)*H30*(1-K30)</f>
        <v>30000</v>
      </c>
    </row>
    <row r="31" spans="1:14" x14ac:dyDescent="0.3">
      <c r="A31" t="s">
        <v>87</v>
      </c>
      <c r="B31" s="1">
        <v>45925</v>
      </c>
      <c r="C31" t="s">
        <v>88</v>
      </c>
      <c r="D31" t="s">
        <v>23</v>
      </c>
      <c r="E31" t="s">
        <v>40</v>
      </c>
      <c r="F31" t="s">
        <v>25</v>
      </c>
      <c r="G31" t="s">
        <v>31</v>
      </c>
      <c r="H31">
        <v>5</v>
      </c>
      <c r="I31" s="3">
        <v>2500</v>
      </c>
      <c r="J31" s="3">
        <v>1500</v>
      </c>
      <c r="K31" s="2">
        <v>0.05</v>
      </c>
      <c r="L31" t="s">
        <v>32</v>
      </c>
      <c r="M31" s="3">
        <f t="shared" ref="M31" si="2">H31*I31*(1-K31)</f>
        <v>11875</v>
      </c>
      <c r="N31" s="3">
        <f t="shared" ref="N31" si="3">(I31-J31)*H31*(1-K31)</f>
        <v>4750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E8" sqref="E8"/>
    </sheetView>
  </sheetViews>
  <sheetFormatPr defaultRowHeight="14.4" x14ac:dyDescent="0.3"/>
  <cols>
    <col min="1" max="1" width="12.5546875" bestFit="1" customWidth="1"/>
    <col min="2" max="2" width="13.109375" style="3" bestFit="1" customWidth="1"/>
  </cols>
  <sheetData>
    <row r="3" spans="1:2" x14ac:dyDescent="0.3">
      <c r="A3" s="4" t="s">
        <v>89</v>
      </c>
      <c r="B3" s="3" t="s">
        <v>91</v>
      </c>
    </row>
    <row r="4" spans="1:2" x14ac:dyDescent="0.3">
      <c r="A4" s="5" t="s">
        <v>40</v>
      </c>
      <c r="B4" s="3">
        <v>36075</v>
      </c>
    </row>
    <row r="5" spans="1:2" x14ac:dyDescent="0.3">
      <c r="A5" s="5" t="s">
        <v>35</v>
      </c>
      <c r="B5" s="3">
        <v>24665</v>
      </c>
    </row>
    <row r="6" spans="1:2" x14ac:dyDescent="0.3">
      <c r="A6" s="5" t="s">
        <v>17</v>
      </c>
      <c r="B6" s="3">
        <v>616400</v>
      </c>
    </row>
    <row r="7" spans="1:2" x14ac:dyDescent="0.3">
      <c r="A7" s="5" t="s">
        <v>24</v>
      </c>
      <c r="B7" s="3">
        <v>20365</v>
      </c>
    </row>
    <row r="8" spans="1:2" x14ac:dyDescent="0.3">
      <c r="A8" s="5" t="s">
        <v>30</v>
      </c>
      <c r="B8" s="3">
        <v>247950</v>
      </c>
    </row>
    <row r="9" spans="1:2" x14ac:dyDescent="0.3">
      <c r="A9" s="5" t="s">
        <v>90</v>
      </c>
      <c r="B9" s="3">
        <v>945455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3.109375" style="3" bestFit="1" customWidth="1"/>
  </cols>
  <sheetData>
    <row r="3" spans="1:2" x14ac:dyDescent="0.3">
      <c r="A3" s="4" t="s">
        <v>89</v>
      </c>
      <c r="B3" s="3" t="s">
        <v>91</v>
      </c>
    </row>
    <row r="4" spans="1:2" x14ac:dyDescent="0.3">
      <c r="A4" s="5" t="s">
        <v>25</v>
      </c>
      <c r="B4" s="3">
        <v>81105</v>
      </c>
    </row>
    <row r="5" spans="1:2" x14ac:dyDescent="0.3">
      <c r="A5" s="5" t="s">
        <v>18</v>
      </c>
      <c r="B5" s="3">
        <v>864350</v>
      </c>
    </row>
    <row r="6" spans="1:2" x14ac:dyDescent="0.3">
      <c r="A6" s="5" t="s">
        <v>90</v>
      </c>
      <c r="B6" s="3">
        <v>945455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O19" sqref="O19"/>
    </sheetView>
  </sheetViews>
  <sheetFormatPr defaultRowHeight="14.4" x14ac:dyDescent="0.3"/>
  <cols>
    <col min="1" max="1" width="12.5546875" bestFit="1" customWidth="1"/>
    <col min="2" max="2" width="13.109375" style="3" bestFit="1" customWidth="1"/>
  </cols>
  <sheetData>
    <row r="3" spans="1:2" x14ac:dyDescent="0.3">
      <c r="A3" s="4" t="s">
        <v>89</v>
      </c>
      <c r="B3" s="3" t="s">
        <v>91</v>
      </c>
    </row>
    <row r="4" spans="1:2" x14ac:dyDescent="0.3">
      <c r="A4" s="5" t="s">
        <v>26</v>
      </c>
      <c r="B4" s="3">
        <v>390815</v>
      </c>
    </row>
    <row r="5" spans="1:2" x14ac:dyDescent="0.3">
      <c r="A5" s="5" t="s">
        <v>19</v>
      </c>
      <c r="B5" s="3">
        <v>237015</v>
      </c>
    </row>
    <row r="6" spans="1:2" x14ac:dyDescent="0.3">
      <c r="A6" s="5" t="s">
        <v>31</v>
      </c>
      <c r="B6" s="3">
        <v>317625</v>
      </c>
    </row>
    <row r="7" spans="1:2" x14ac:dyDescent="0.3">
      <c r="A7" s="5" t="s">
        <v>90</v>
      </c>
      <c r="B7" s="3">
        <v>945455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13.109375" style="3" bestFit="1" customWidth="1"/>
  </cols>
  <sheetData>
    <row r="3" spans="1:2" x14ac:dyDescent="0.3">
      <c r="A3" s="4" t="s">
        <v>89</v>
      </c>
      <c r="B3" s="3" t="s">
        <v>91</v>
      </c>
    </row>
    <row r="4" spans="1:2" x14ac:dyDescent="0.3">
      <c r="A4" s="5" t="s">
        <v>92</v>
      </c>
      <c r="B4" s="3">
        <v>99650</v>
      </c>
    </row>
    <row r="5" spans="1:2" x14ac:dyDescent="0.3">
      <c r="A5" s="5" t="s">
        <v>93</v>
      </c>
      <c r="B5" s="3">
        <v>65350</v>
      </c>
    </row>
    <row r="6" spans="1:2" x14ac:dyDescent="0.3">
      <c r="A6" s="5" t="s">
        <v>94</v>
      </c>
      <c r="B6" s="3">
        <v>134190</v>
      </c>
    </row>
    <row r="7" spans="1:2" x14ac:dyDescent="0.3">
      <c r="A7" s="5" t="s">
        <v>95</v>
      </c>
      <c r="B7" s="3">
        <v>85660</v>
      </c>
    </row>
    <row r="8" spans="1:2" x14ac:dyDescent="0.3">
      <c r="A8" s="5" t="s">
        <v>96</v>
      </c>
      <c r="B8" s="3">
        <v>173705</v>
      </c>
    </row>
    <row r="9" spans="1:2" x14ac:dyDescent="0.3">
      <c r="A9" s="5" t="s">
        <v>97</v>
      </c>
      <c r="B9" s="3">
        <v>35820</v>
      </c>
    </row>
    <row r="10" spans="1:2" x14ac:dyDescent="0.3">
      <c r="A10" s="5" t="s">
        <v>98</v>
      </c>
      <c r="B10" s="3">
        <v>121852.5</v>
      </c>
    </row>
    <row r="11" spans="1:2" x14ac:dyDescent="0.3">
      <c r="A11" s="5" t="s">
        <v>99</v>
      </c>
      <c r="B11" s="3">
        <v>88650</v>
      </c>
    </row>
    <row r="12" spans="1:2" x14ac:dyDescent="0.3">
      <c r="A12" s="5" t="s">
        <v>100</v>
      </c>
      <c r="B12" s="3">
        <v>140577.5</v>
      </c>
    </row>
    <row r="13" spans="1:2" x14ac:dyDescent="0.3">
      <c r="A13" s="5" t="s">
        <v>90</v>
      </c>
      <c r="B13" s="3">
        <v>945455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defaultRowHeight="14.4" x14ac:dyDescent="0.3"/>
  <cols>
    <col min="1" max="1" width="12.5546875" customWidth="1"/>
    <col min="2" max="2" width="13.109375" style="3" bestFit="1" customWidth="1"/>
  </cols>
  <sheetData>
    <row r="3" spans="1:2" x14ac:dyDescent="0.3">
      <c r="A3" s="4" t="s">
        <v>89</v>
      </c>
      <c r="B3" s="3" t="s">
        <v>91</v>
      </c>
    </row>
    <row r="4" spans="1:2" x14ac:dyDescent="0.3">
      <c r="A4" s="5" t="s">
        <v>16</v>
      </c>
      <c r="B4" s="3">
        <v>694990</v>
      </c>
    </row>
    <row r="5" spans="1:2" x14ac:dyDescent="0.3">
      <c r="A5" s="5" t="s">
        <v>23</v>
      </c>
      <c r="B5" s="3">
        <v>250465</v>
      </c>
    </row>
    <row r="6" spans="1:2" x14ac:dyDescent="0.3">
      <c r="A6" s="5" t="s">
        <v>90</v>
      </c>
      <c r="B6" s="3">
        <v>945455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Raw_data</vt:lpstr>
      <vt:lpstr>Cleaned_Data</vt:lpstr>
      <vt:lpstr>Product-wise_sales</vt:lpstr>
      <vt:lpstr>Category-wise_Sales</vt:lpstr>
      <vt:lpstr>Regional-sales_Analysis</vt:lpstr>
      <vt:lpstr>Monthly-sales_Analysis</vt:lpstr>
      <vt:lpstr>Customer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2026-09-11T04:56:58Z</dcterms:created>
  <dcterms:modified xsi:type="dcterms:W3CDTF">2026-10-01T14:21:47Z</dcterms:modified>
</cp:coreProperties>
</file>